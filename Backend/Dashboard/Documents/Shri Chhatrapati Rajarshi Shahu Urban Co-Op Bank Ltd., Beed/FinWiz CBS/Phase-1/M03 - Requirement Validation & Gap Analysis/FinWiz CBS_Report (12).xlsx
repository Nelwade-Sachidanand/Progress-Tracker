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Wiz_Project_Schedule" sheetId="1" state="visible" r:id="rId3"/>
  </sheets>
  <definedNames>
    <definedName function="false" hidden="false" localSheetId="0" name="_xlnm.Print_Titles" vbProcedure="false">FinWiz_Project_Schedule!$5:$7</definedName>
    <definedName function="false" hidden="false" name="Actual_End" vbProcedure="false">FinWiz_Project_Schedule!$L$8</definedName>
    <definedName function="false" hidden="false" name="Display_Week" vbProcedure="false">FinWiz_Project_Schedule!$Z$3</definedName>
    <definedName function="false" hidden="false" name="Planned_End" vbProcedure="false">FinWiz_Project_Schedule!$J$8</definedName>
    <definedName function="false" hidden="false" name="Progress" vbProcedure="false">FinWiz_Project_Schedule!$N$8</definedName>
    <definedName function="false" hidden="false" name="Project_Start" vbProcedure="false">FinWiz_Project_Schedule!$Z$2</definedName>
    <definedName function="false" hidden="false" localSheetId="0" name="task_end" vbProcedure="false">FinWiz_Project_Schedule!$L1</definedName>
    <definedName function="false" hidden="false" localSheetId="0" name="task_progress" vbProcedure="false">FinWiz_Project_Schedule!$E1</definedName>
    <definedName function="false" hidden="false" localSheetId="0" name="task_start" vbProcedure="false">FinWiz_Project_Schedule!$K1</definedName>
    <definedName function="false" hidden="false" localSheetId="0" name="today" vbProcedure="false">TODAY()</definedName>
  </definedNames>
  <calcPr iterateCount="100" refMode="A1" iterate="false" iterateDelta="0.0001" fullCalcOnLoad="true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Pranav Kashikar</author>
  </authors>
  <commentList>
    <comment ref="H5" authorId="0">
      <text>
        <r>
          <rPr>
            <sz val="10"/>
            <rFont val="Arial"/>
            <family val="2"/>
          </rPr>
          <t xml:space="preserve">Pranav Kashikar:
</t>
        </r>
        <r>
          <rPr>
            <sz val="9"/>
            <color rgb="FF000000"/>
            <rFont val="Tahoma"/>
            <family val="0"/>
            <charset val="1"/>
          </rPr>
          <t xml:space="preserve">Half Day : 0.1
1 Day : 0.2
2 Days : 0.4
3 Days : 0.6
1 Week : 1
2 Weeks : 2</t>
        </r>
      </text>
    </comment>
  </commentList>
</comments>
</file>

<file path=xl/sharedStrings.xml><?xml version="1.0" encoding="utf-8"?>
<sst xmlns="http://schemas.openxmlformats.org/spreadsheetml/2006/main" count="54" uniqueCount="41">
  <si>
    <t xml:space="preserve">Novillex Technologies Private Ltd.</t>
  </si>
  <si>
    <t xml:space="preserve">Name of Bank:</t>
  </si>
  <si>
    <t xml:space="preserve">Shri Chhatrapati Rajarshi Shahu Urban Co-Op Bank Ltd., Beed</t>
  </si>
  <si>
    <t xml:space="preserve">Project Start Date</t>
  </si>
  <si>
    <t xml:space="preserve">Name of Project:</t>
  </si>
  <si>
    <t xml:space="preserve">FinWiz CBS</t>
  </si>
  <si>
    <t xml:space="preserve">Display week:</t>
  </si>
  <si>
    <t xml:space="preserve">Project Manager:</t>
  </si>
  <si>
    <t xml:space="preserve">Pranav Kashikar</t>
  </si>
  <si>
    <t xml:space="preserve">Sr. No.</t>
  </si>
  <si>
    <t xml:space="preserve">Phase</t>
  </si>
  <si>
    <t xml:space="preserve">Milestone</t>
  </si>
  <si>
    <t xml:space="preserve">Task</t>
  </si>
  <si>
    <t xml:space="preserve">Sub-Task</t>
  </si>
  <si>
    <t xml:space="preserve">Activity</t>
  </si>
  <si>
    <t xml:space="preserve">Owner</t>
  </si>
  <si>
    <t xml:space="preserve">Estimated Period 
(in week)</t>
  </si>
  <si>
    <t xml:space="preserve">Planned Start Date</t>
  </si>
  <si>
    <t xml:space="preserve">Planned 
End Date</t>
  </si>
  <si>
    <t xml:space="preserve">Actual 
Start Date</t>
  </si>
  <si>
    <t xml:space="preserve">Actual 
End Date</t>
  </si>
  <si>
    <t xml:space="preserve">Actual
Period
(in week)</t>
  </si>
  <si>
    <t xml:space="preserve">Progress</t>
  </si>
  <si>
    <t xml:space="preserve">Execution Status</t>
  </si>
  <si>
    <t xml:space="preserve">Schedule Health</t>
  </si>
  <si>
    <t xml:space="preserve">Phase-1</t>
  </si>
  <si>
    <t xml:space="preserve">M01 - Project Initiation &amp; Governance</t>
  </si>
  <si>
    <t xml:space="preserve">Project Kickoff</t>
  </si>
  <si>
    <t xml:space="preserve">Kickoff Meeting</t>
  </si>
  <si>
    <t xml:space="preserve">Introduce stakeholders</t>
  </si>
  <si>
    <t>Shri Chhatrapati Rajarshi Shahu Urban Co-Op Bank Ltd., Beed</t>
  </si>
  <si>
    <t>FinWiz CBS</t>
  </si>
  <si>
    <t>Pranav Kashikar</t>
  </si>
  <si>
    <t>Phase-1</t>
  </si>
  <si>
    <t>M01 - Project Initiation &amp; Governance</t>
  </si>
  <si>
    <t>Governance Setup</t>
  </si>
  <si>
    <t>Governance Model</t>
  </si>
  <si>
    <t>Steering committee formation</t>
  </si>
  <si>
    <t/>
  </si>
  <si>
    <t>Define escalation matrix</t>
  </si>
  <si>
    <t>Define approval hierarchy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</si>
</sst>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;@"/>
    <numFmt numFmtId="166" formatCode="ddd&quot;, &quot;m/d/yyyy"/>
    <numFmt numFmtId="167" formatCode="[$-809]dd\ mmmm\ yyyy;@"/>
    <numFmt numFmtId="168" formatCode="d"/>
    <numFmt numFmtId="169" formatCode="[$-409]d/mmm/yy;@"/>
    <numFmt numFmtId="170" formatCode="0.0"/>
    <numFmt numFmtId="171" formatCode="0%"/>
  </numFmts>
  <fonts count="18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"/>
      <family val="2"/>
      <charset val="1"/>
    </font>
    <font>
      <b val="true"/>
      <sz val="11"/>
      <color theme="0"/>
      <name val="Cambria"/>
      <family val="1"/>
      <charset val="1"/>
    </font>
    <font>
      <sz val="12"/>
      <color theme="0"/>
      <name val="Cambria"/>
      <family val="1"/>
      <charset val="1"/>
    </font>
    <font>
      <sz val="12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 val="true"/>
      <sz val="14"/>
      <name val="Cambria"/>
      <family val="1"/>
      <charset val="1"/>
    </font>
    <font>
      <sz val="12"/>
      <name val="Cambria"/>
      <family val="1"/>
      <charset val="1"/>
    </font>
    <font>
      <b val="true"/>
      <sz val="12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2"/>
      <color theme="1"/>
      <name val="Cambria"/>
      <family val="1"/>
      <charset val="1"/>
    </font>
    <font>
      <sz val="1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9" tint="0.3999"/>
        <bgColor rgb="FF4E95D9"/>
      </patternFill>
    </fill>
    <fill>
      <patternFill patternType="solid">
        <fgColor theme="3" tint="0.4999"/>
        <bgColor rgb="FF6BA0F2"/>
      </patternFill>
    </fill>
    <fill>
      <patternFill patternType="solid">
        <fgColor theme="8" tint="0.3999"/>
        <bgColor rgb="FFFFCC99"/>
      </patternFill>
    </fill>
    <fill>
      <patternFill patternType="solid">
        <fgColor theme="7" tint="0.7999"/>
        <bgColor rgb="FFCCFFFF"/>
      </patternFill>
    </fill>
    <fill>
      <patternFill patternType="solid">
        <fgColor theme="9" tint="0.5999"/>
        <bgColor rgb="FFA6CAEC"/>
      </patternFill>
    </fill>
    <fill>
      <patternFill patternType="solid">
        <fgColor theme="6" tint="0.5999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medium">
        <color theme="0" tint="-0.15"/>
      </top>
      <bottom style="medium">
        <color theme="0" tint="-0.1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1" tint="0.4999"/>
      </left>
      <right style="thin">
        <color theme="1" tint="0.4999"/>
      </right>
      <top style="thin">
        <color theme="1" tint="0.4999"/>
      </top>
      <bottom style="thin">
        <color theme="1" tint="0.4999"/>
      </bottom>
      <diagonal/>
    </border>
    <border diagonalUp="false" diagonalDown="false">
      <left style="thin">
        <color theme="3" tint="0.7499"/>
      </left>
      <right style="thin">
        <color theme="3" tint="0.7499"/>
      </right>
      <top/>
      <bottom style="thin">
        <color theme="3" tint="0.7499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3" tint="0.7499"/>
      </left>
      <right style="thin">
        <color theme="3" tint="0.7499"/>
      </right>
      <top style="thin">
        <color theme="3" tint="0.7499"/>
      </top>
      <bottom style="thin">
        <color theme="3" tint="0.74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3" xfId="24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4" xfId="2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2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9" borderId="7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4" fillId="0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0"/>
    <cellStyle name="Name" xfId="21"/>
    <cellStyle name="Project Start" xfId="22"/>
    <cellStyle name="Task" xfId="23"/>
    <cellStyle name="zHiddenText" xfId="24"/>
    <cellStyle name="Excel Built-in Heading 3" xfId="25"/>
  </cellStyles>
  <dxfs count="24">
    <dxf>
      <fill>
        <patternFill>
          <bgColor rgb="FFFF8264"/>
        </patternFill>
      </fill>
    </dxf>
    <dxf>
      <font>
        <color rgb="FFFFFFFF"/>
      </font>
      <fill>
        <patternFill>
          <bgColor rgb="FF92D050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border diagonalUp="false" diagonalDown="false">
        <left style="thin">
          <color theme="5"/>
        </left>
        <right style="thin">
          <color theme="5"/>
        </right>
        <top/>
        <bottom/>
        <diagonal/>
      </border>
    </dxf>
    <dxf>
      <fill>
        <patternFill>
          <bgColor theme="3" tint="0.7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theme="3" tint="0.2499"/>
        </patternFill>
      </fill>
      <border diagonalUp="false" diagonalDown="false">
        <left/>
        <right/>
        <top style="thin">
          <color theme="0" tint="-0.05"/>
        </top>
        <bottom style="thin">
          <color theme="0" tint="-0.05"/>
        </bottom>
        <diagonal/>
      </border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  <dxf>
      <fill>
        <patternFill>
          <bgColor rgb="FFFF8264"/>
        </patternFill>
      </fill>
    </dxf>
    <dxf>
      <fill>
        <patternFill>
          <bgColor theme="8" tint="0.3999"/>
        </patternFill>
      </fill>
    </dxf>
    <dxf>
      <fill>
        <patternFill>
          <bgColor theme="3" tint="0.7499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800A6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6BA0F2"/>
      <rgbColor rgb="FF993366"/>
      <rgbColor rgb="FFF2F2F2"/>
      <rgbColor rgb="FFBDFCFF"/>
      <rgbColor rgb="FF660066"/>
      <rgbColor rgb="FFFF8264"/>
      <rgbColor rgb="FF215F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BEAD7"/>
      <rgbColor rgb="FFFFEE7D"/>
      <rgbColor rgb="FFA6CAEC"/>
      <rgbColor rgb="FFFF99CC"/>
      <rgbColor rgb="FF9CC0F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16400962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6528f7"/>
      </a:accent1>
      <a:accent2>
        <a:srgbClr val="d800a6"/>
      </a:accent2>
      <a:accent3>
        <a:srgbClr val="7eca9c"/>
      </a:accent3>
      <a:accent4>
        <a:srgbClr val="00abb3"/>
      </a:accent4>
      <a:accent5>
        <a:srgbClr val="ffe227"/>
      </a:accent5>
      <a:accent6>
        <a:srgbClr val="1363df"/>
      </a:accent6>
      <a:hlink>
        <a:srgbClr val="467886"/>
      </a:hlink>
      <a:folHlink>
        <a:srgbClr val="96607d"/>
      </a:folHlink>
    </a:clrScheme>
    <a:fontScheme name="Custom 32">
      <a:majorFont>
        <a:latin typeface="Arial Black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1048576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9" activeCellId="0" sqref="A9"/>
    </sheetView>
  </sheetViews>
  <sheetFormatPr defaultColWidth="8.625" defaultRowHeight="15.75" customHeight="true" zeroHeight="false" outlineLevelRow="0" outlineLevelCol="0"/>
  <cols>
    <col min="1" max="1" customWidth="true" hidden="false" style="1" width="5.12" collapsed="false" outlineLevel="0"/>
    <col min="2" max="2" customWidth="true" hidden="false" style="2" width="10.0" collapsed="false" outlineLevel="0"/>
    <col min="3" max="3" customWidth="true" hidden="false" style="3" width="41.62" collapsed="false" outlineLevel="0"/>
    <col min="4" max="4" customWidth="true" hidden="false" style="4" width="22.5" collapsed="false" outlineLevel="0"/>
    <col min="5" max="5" customWidth="true" hidden="false" style="4" width="22.0" collapsed="false" outlineLevel="0"/>
    <col min="6" max="6" customWidth="true" hidden="false" style="5" width="37.38" collapsed="false" outlineLevel="0"/>
    <col min="7" max="7" customWidth="true" hidden="true" style="5" width="9.87" collapsed="false" outlineLevel="0"/>
    <col min="8" max="13" customWidth="true" hidden="false" style="6" width="11.62" collapsed="false" outlineLevel="0"/>
    <col min="14" max="14" customWidth="true" hidden="false" style="5" width="9.5" collapsed="false" outlineLevel="0"/>
    <col min="15" max="16" customWidth="true" hidden="false" style="5" width="10.26" collapsed="false" outlineLevel="0"/>
    <col min="17" max="17" customWidth="true" hidden="false" style="5" width="2.62" collapsed="false" outlineLevel="0"/>
    <col min="18" max="73" customWidth="true" hidden="false" style="5" width="3.38" collapsed="false" outlineLevel="0"/>
    <col min="74" max="74" customWidth="true" hidden="false" style="5" width="2.62" collapsed="false" outlineLevel="0"/>
    <col min="75" max="16384" customWidth="false" hidden="false" style="5" width="8.62" collapsed="false" outlineLevel="0"/>
  </cols>
  <sheetData>
    <row r="1" customFormat="false" ht="17.3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15.75" hidden="false" customHeight="true" outlineLevel="0" collapsed="false">
      <c r="A2" s="8" t="s">
        <v>1</v>
      </c>
      <c r="B2" s="8"/>
      <c r="C2" s="8"/>
      <c r="D2" s="9" t="s">
        <v>30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R2" s="10" t="s">
        <v>3</v>
      </c>
      <c r="S2" s="10"/>
      <c r="T2" s="10"/>
      <c r="U2" s="10"/>
      <c r="V2" s="10"/>
      <c r="W2" s="10"/>
      <c r="X2" s="10"/>
      <c r="Y2" s="10"/>
      <c r="Z2" s="11" t="n">
        <v>46184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 customFormat="false" ht="15.75" hidden="false" customHeight="true" outlineLevel="0" collapsed="false">
      <c r="A3" s="8" t="s">
        <v>4</v>
      </c>
      <c r="B3" s="8"/>
      <c r="C3" s="8"/>
      <c r="D3" s="9" t="s">
        <v>31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R3" s="10" t="s">
        <v>6</v>
      </c>
      <c r="S3" s="10"/>
      <c r="T3" s="10"/>
      <c r="U3" s="10"/>
      <c r="V3" s="10"/>
      <c r="W3" s="10"/>
      <c r="X3" s="10"/>
      <c r="Y3" s="10"/>
      <c r="Z3" s="12" t="n">
        <v>1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</row>
    <row r="4" customFormat="false" ht="15.75" hidden="false" customHeight="true" outlineLevel="0" collapsed="false">
      <c r="A4" s="8" t="s">
        <v>7</v>
      </c>
      <c r="B4" s="8"/>
      <c r="C4" s="8"/>
      <c r="D4" s="13" t="s">
        <v>32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</row>
    <row r="5" s="3" customFormat="true" ht="21" hidden="false" customHeight="true" outlineLevel="0" collapsed="false">
      <c r="A5" s="15" t="s">
        <v>9</v>
      </c>
      <c r="B5" s="16" t="s">
        <v>10</v>
      </c>
      <c r="C5" s="16" t="s">
        <v>11</v>
      </c>
      <c r="D5" s="17" t="s">
        <v>12</v>
      </c>
      <c r="E5" s="17" t="s">
        <v>13</v>
      </c>
      <c r="F5" s="16" t="s">
        <v>14</v>
      </c>
      <c r="G5" s="17" t="s">
        <v>15</v>
      </c>
      <c r="H5" s="17" t="s">
        <v>16</v>
      </c>
      <c r="I5" s="18" t="s">
        <v>17</v>
      </c>
      <c r="J5" s="18" t="s">
        <v>18</v>
      </c>
      <c r="K5" s="19" t="s">
        <v>19</v>
      </c>
      <c r="L5" s="19" t="s">
        <v>20</v>
      </c>
      <c r="M5" s="17" t="s">
        <v>21</v>
      </c>
      <c r="N5" s="16" t="s">
        <v>22</v>
      </c>
      <c r="O5" s="17" t="s">
        <v>23</v>
      </c>
      <c r="P5" s="20" t="s">
        <v>24</v>
      </c>
      <c r="R5" s="21" t="n">
        <f aca="false">R6</f>
        <v>46181.0</v>
      </c>
      <c r="S5" s="21"/>
      <c r="T5" s="21"/>
      <c r="U5" s="21"/>
      <c r="V5" s="21"/>
      <c r="W5" s="21"/>
      <c r="X5" s="21"/>
      <c r="Y5" s="21" t="n">
        <f aca="false">Y6</f>
        <v>46188.0</v>
      </c>
      <c r="Z5" s="21"/>
      <c r="AA5" s="21"/>
      <c r="AB5" s="21"/>
      <c r="AC5" s="21"/>
      <c r="AD5" s="21"/>
      <c r="AE5" s="21"/>
      <c r="AF5" s="21" t="n">
        <f aca="false">AF6</f>
        <v>46195.0</v>
      </c>
      <c r="AG5" s="21"/>
      <c r="AH5" s="21"/>
      <c r="AI5" s="21"/>
      <c r="AJ5" s="21"/>
      <c r="AK5" s="21"/>
      <c r="AL5" s="21"/>
      <c r="AM5" s="21" t="n">
        <f aca="false">AM6</f>
        <v>46202.0</v>
      </c>
      <c r="AN5" s="21"/>
      <c r="AO5" s="21"/>
      <c r="AP5" s="21"/>
      <c r="AQ5" s="21"/>
      <c r="AR5" s="21"/>
      <c r="AS5" s="21"/>
      <c r="AT5" s="21" t="n">
        <f aca="false">AT6</f>
        <v>46209.0</v>
      </c>
      <c r="AU5" s="21"/>
      <c r="AV5" s="21"/>
      <c r="AW5" s="21"/>
      <c r="AX5" s="21"/>
      <c r="AY5" s="21"/>
      <c r="AZ5" s="21"/>
      <c r="BA5" s="21" t="n">
        <f aca="false">BA6</f>
        <v>46216.0</v>
      </c>
      <c r="BB5" s="21"/>
      <c r="BC5" s="21"/>
      <c r="BD5" s="21"/>
      <c r="BE5" s="21"/>
      <c r="BF5" s="21"/>
      <c r="BG5" s="21"/>
      <c r="BH5" s="21" t="n">
        <f aca="false">BH6</f>
        <v>46223.0</v>
      </c>
      <c r="BI5" s="21"/>
      <c r="BJ5" s="21"/>
      <c r="BK5" s="21"/>
      <c r="BL5" s="21"/>
      <c r="BM5" s="21"/>
      <c r="BN5" s="21"/>
      <c r="BO5" s="21" t="n">
        <f aca="false">BO6</f>
        <v>46230.0</v>
      </c>
      <c r="BP5" s="21"/>
      <c r="BQ5" s="21"/>
      <c r="BR5" s="21"/>
      <c r="BS5" s="21"/>
      <c r="BT5" s="21"/>
      <c r="BU5" s="21"/>
    </row>
    <row r="6" s="3" customFormat="true" ht="15" hidden="false" customHeight="true" outlineLevel="0" collapsed="false">
      <c r="A6" s="15"/>
      <c r="B6" s="16"/>
      <c r="C6" s="16"/>
      <c r="D6" s="17"/>
      <c r="E6" s="17"/>
      <c r="F6" s="16"/>
      <c r="G6" s="17"/>
      <c r="H6" s="17"/>
      <c r="I6" s="18"/>
      <c r="J6" s="18"/>
      <c r="K6" s="19"/>
      <c r="L6" s="19"/>
      <c r="M6" s="17"/>
      <c r="N6" s="16"/>
      <c r="O6" s="17"/>
      <c r="P6" s="20"/>
      <c r="Q6" s="22"/>
      <c r="R6" s="23" t="n">
        <f aca="false">Project_Start-WEEKDAY(Project_Start,1)+2+7*(Display_Week-1)</f>
        <v>46181.0</v>
      </c>
      <c r="S6" s="23" t="n">
        <f aca="false">R6+1</f>
        <v>46182.0</v>
      </c>
      <c r="T6" s="23" t="n">
        <f aca="false">S6+1</f>
        <v>46183.0</v>
      </c>
      <c r="U6" s="23" t="n">
        <f aca="false">T6+1</f>
        <v>46184.0</v>
      </c>
      <c r="V6" s="23" t="n">
        <f aca="false">U6+1</f>
        <v>46185.0</v>
      </c>
      <c r="W6" s="23" t="n">
        <f aca="false">V6+1</f>
        <v>46186.0</v>
      </c>
      <c r="X6" s="23" t="n">
        <f aca="false">W6+1</f>
        <v>46187.0</v>
      </c>
      <c r="Y6" s="23" t="n">
        <f aca="false">X6+1</f>
        <v>46188.0</v>
      </c>
      <c r="Z6" s="23" t="n">
        <f aca="false">Y6+1</f>
        <v>46189.0</v>
      </c>
      <c r="AA6" s="23" t="n">
        <f aca="false">Z6+1</f>
        <v>46190.0</v>
      </c>
      <c r="AB6" s="23" t="n">
        <f aca="false">AA6+1</f>
        <v>46191.0</v>
      </c>
      <c r="AC6" s="23" t="n">
        <f aca="false">AB6+1</f>
        <v>46192.0</v>
      </c>
      <c r="AD6" s="23" t="n">
        <f aca="false">AC6+1</f>
        <v>46193.0</v>
      </c>
      <c r="AE6" s="23" t="n">
        <f aca="false">AD6+1</f>
        <v>46194.0</v>
      </c>
      <c r="AF6" s="23" t="n">
        <f aca="false">AE6+1</f>
        <v>46195.0</v>
      </c>
      <c r="AG6" s="23" t="n">
        <f aca="false">AF6+1</f>
        <v>46196.0</v>
      </c>
      <c r="AH6" s="23" t="n">
        <f aca="false">AG6+1</f>
        <v>46197.0</v>
      </c>
      <c r="AI6" s="23" t="n">
        <f aca="false">AH6+1</f>
        <v>46198.0</v>
      </c>
      <c r="AJ6" s="23" t="n">
        <f aca="false">AI6+1</f>
        <v>46199.0</v>
      </c>
      <c r="AK6" s="23" t="n">
        <f aca="false">AJ6+1</f>
        <v>46200.0</v>
      </c>
      <c r="AL6" s="23" t="n">
        <f aca="false">AK6+1</f>
        <v>46201.0</v>
      </c>
      <c r="AM6" s="23" t="n">
        <f aca="false">AL6+1</f>
        <v>46202.0</v>
      </c>
      <c r="AN6" s="23" t="n">
        <f aca="false">AM6+1</f>
        <v>46203.0</v>
      </c>
      <c r="AO6" s="23" t="n">
        <f aca="false">AN6+1</f>
        <v>46204.0</v>
      </c>
      <c r="AP6" s="23" t="n">
        <f aca="false">AO6+1</f>
        <v>46205.0</v>
      </c>
      <c r="AQ6" s="23" t="n">
        <f aca="false">AP6+1</f>
        <v>46206.0</v>
      </c>
      <c r="AR6" s="23" t="n">
        <f aca="false">AQ6+1</f>
        <v>46207.0</v>
      </c>
      <c r="AS6" s="23" t="n">
        <f aca="false">AR6+1</f>
        <v>46208.0</v>
      </c>
      <c r="AT6" s="23" t="n">
        <f aca="false">AS6+1</f>
        <v>46209.0</v>
      </c>
      <c r="AU6" s="23" t="n">
        <f aca="false">AT6+1</f>
        <v>46210.0</v>
      </c>
      <c r="AV6" s="23" t="n">
        <f aca="false">AU6+1</f>
        <v>46211.0</v>
      </c>
      <c r="AW6" s="23" t="n">
        <f aca="false">AV6+1</f>
        <v>46212.0</v>
      </c>
      <c r="AX6" s="23" t="n">
        <f aca="false">AW6+1</f>
        <v>46213.0</v>
      </c>
      <c r="AY6" s="23" t="n">
        <f aca="false">AX6+1</f>
        <v>46214.0</v>
      </c>
      <c r="AZ6" s="23" t="n">
        <f aca="false">AY6+1</f>
        <v>46215.0</v>
      </c>
      <c r="BA6" s="23" t="n">
        <f aca="false">AZ6+1</f>
        <v>46216.0</v>
      </c>
      <c r="BB6" s="23" t="n">
        <f aca="false">BA6+1</f>
        <v>46217.0</v>
      </c>
      <c r="BC6" s="23" t="n">
        <f aca="false">BB6+1</f>
        <v>46218.0</v>
      </c>
      <c r="BD6" s="23" t="n">
        <f aca="false">BC6+1</f>
        <v>46219.0</v>
      </c>
      <c r="BE6" s="23" t="n">
        <f aca="false">BD6+1</f>
        <v>46220.0</v>
      </c>
      <c r="BF6" s="23" t="n">
        <f aca="false">BE6+1</f>
        <v>46221.0</v>
      </c>
      <c r="BG6" s="23" t="n">
        <f aca="false">BF6+1</f>
        <v>46222.0</v>
      </c>
      <c r="BH6" s="23" t="n">
        <f aca="false">BG6+1</f>
        <v>46223.0</v>
      </c>
      <c r="BI6" s="23" t="n">
        <f aca="false">BH6+1</f>
        <v>46224.0</v>
      </c>
      <c r="BJ6" s="23" t="n">
        <f aca="false">BI6+1</f>
        <v>46225.0</v>
      </c>
      <c r="BK6" s="23" t="n">
        <f aca="false">BJ6+1</f>
        <v>46226.0</v>
      </c>
      <c r="BL6" s="23" t="n">
        <f aca="false">BK6+1</f>
        <v>46227.0</v>
      </c>
      <c r="BM6" s="23" t="n">
        <f aca="false">BL6+1</f>
        <v>46228.0</v>
      </c>
      <c r="BN6" s="23" t="n">
        <f aca="false">BM6+1</f>
        <v>46229.0</v>
      </c>
      <c r="BO6" s="23" t="n">
        <f aca="false">BN6+1</f>
        <v>46230.0</v>
      </c>
      <c r="BP6" s="23" t="n">
        <f aca="false">BO6+1</f>
        <v>46231.0</v>
      </c>
      <c r="BQ6" s="23" t="n">
        <f aca="false">BP6+1</f>
        <v>46232.0</v>
      </c>
      <c r="BR6" s="23" t="n">
        <f aca="false">BQ6+1</f>
        <v>46233.0</v>
      </c>
      <c r="BS6" s="23" t="n">
        <f aca="false">BR6+1</f>
        <v>46234.0</v>
      </c>
      <c r="BT6" s="23" t="n">
        <f aca="false">BS6+1</f>
        <v>46235.0</v>
      </c>
      <c r="BU6" s="23" t="n">
        <f aca="false">BT6+1</f>
        <v>46236.0</v>
      </c>
    </row>
    <row r="7" s="3" customFormat="true" ht="15.75" hidden="false" customHeight="false" outlineLevel="0" collapsed="false">
      <c r="A7" s="15"/>
      <c r="B7" s="16"/>
      <c r="C7" s="16"/>
      <c r="D7" s="17"/>
      <c r="E7" s="17"/>
      <c r="F7" s="16"/>
      <c r="G7" s="17"/>
      <c r="H7" s="17"/>
      <c r="I7" s="18"/>
      <c r="J7" s="18"/>
      <c r="K7" s="19"/>
      <c r="L7" s="19"/>
      <c r="M7" s="17"/>
      <c r="N7" s="16"/>
      <c r="O7" s="17"/>
      <c r="P7" s="20"/>
      <c r="Q7" s="22"/>
      <c r="R7" s="24" t="str">
        <f aca="false">LEFT(TEXT(R6,"ddd"),1)</f>
        <v>M</v>
      </c>
      <c r="S7" s="24" t="str">
        <f aca="false">LEFT(TEXT(S6,"ddd"),1)</f>
        <v>T</v>
      </c>
      <c r="T7" s="24" t="str">
        <f aca="false">LEFT(TEXT(T6,"ddd"),1)</f>
        <v>W</v>
      </c>
      <c r="U7" s="24" t="str">
        <f aca="false">LEFT(TEXT(U6,"ddd"),1)</f>
        <v>T</v>
      </c>
      <c r="V7" s="24" t="str">
        <f aca="false">LEFT(TEXT(V6,"ddd"),1)</f>
        <v>F</v>
      </c>
      <c r="W7" s="24" t="str">
        <f aca="false">LEFT(TEXT(W6,"ddd"),1)</f>
        <v>S</v>
      </c>
      <c r="X7" s="24" t="str">
        <f aca="false">LEFT(TEXT(X6,"ddd"),1)</f>
        <v>S</v>
      </c>
      <c r="Y7" s="24" t="str">
        <f aca="false">LEFT(TEXT(Y6,"ddd"),1)</f>
        <v>M</v>
      </c>
      <c r="Z7" s="24" t="str">
        <f aca="false">LEFT(TEXT(Z6,"ddd"),1)</f>
        <v>T</v>
      </c>
      <c r="AA7" s="24" t="str">
        <f aca="false">LEFT(TEXT(AA6,"ddd"),1)</f>
        <v>W</v>
      </c>
      <c r="AB7" s="24" t="str">
        <f aca="false">LEFT(TEXT(AB6,"ddd"),1)</f>
        <v>T</v>
      </c>
      <c r="AC7" s="24" t="str">
        <f aca="false">LEFT(TEXT(AC6,"ddd"),1)</f>
        <v>F</v>
      </c>
      <c r="AD7" s="24" t="str">
        <f aca="false">LEFT(TEXT(AD6,"ddd"),1)</f>
        <v>S</v>
      </c>
      <c r="AE7" s="24" t="str">
        <f aca="false">LEFT(TEXT(AE6,"ddd"),1)</f>
        <v>S</v>
      </c>
      <c r="AF7" s="24" t="str">
        <f aca="false">LEFT(TEXT(AF6,"ddd"),1)</f>
        <v>M</v>
      </c>
      <c r="AG7" s="24" t="str">
        <f aca="false">LEFT(TEXT(AG6,"ddd"),1)</f>
        <v>T</v>
      </c>
      <c r="AH7" s="24" t="str">
        <f aca="false">LEFT(TEXT(AH6,"ddd"),1)</f>
        <v>W</v>
      </c>
      <c r="AI7" s="24" t="str">
        <f aca="false">LEFT(TEXT(AI6,"ddd"),1)</f>
        <v>T</v>
      </c>
      <c r="AJ7" s="24" t="str">
        <f aca="false">LEFT(TEXT(AJ6,"ddd"),1)</f>
        <v>F</v>
      </c>
      <c r="AK7" s="24" t="str">
        <f aca="false">LEFT(TEXT(AK6,"ddd"),1)</f>
        <v>S</v>
      </c>
      <c r="AL7" s="24" t="str">
        <f aca="false">LEFT(TEXT(AL6,"ddd"),1)</f>
        <v>S</v>
      </c>
      <c r="AM7" s="24" t="str">
        <f aca="false">LEFT(TEXT(AM6,"ddd"),1)</f>
        <v>M</v>
      </c>
      <c r="AN7" s="24" t="str">
        <f aca="false">LEFT(TEXT(AN6,"ddd"),1)</f>
        <v>T</v>
      </c>
      <c r="AO7" s="24" t="str">
        <f aca="false">LEFT(TEXT(AO6,"ddd"),1)</f>
        <v>W</v>
      </c>
      <c r="AP7" s="24" t="str">
        <f aca="false">LEFT(TEXT(AP6,"ddd"),1)</f>
        <v>T</v>
      </c>
      <c r="AQ7" s="24" t="str">
        <f aca="false">LEFT(TEXT(AQ6,"ddd"),1)</f>
        <v>F</v>
      </c>
      <c r="AR7" s="24" t="str">
        <f aca="false">LEFT(TEXT(AR6,"ddd"),1)</f>
        <v>S</v>
      </c>
      <c r="AS7" s="24" t="str">
        <f aca="false">LEFT(TEXT(AS6,"ddd"),1)</f>
        <v>S</v>
      </c>
      <c r="AT7" s="24" t="str">
        <f aca="false">LEFT(TEXT(AT6,"ddd"),1)</f>
        <v>M</v>
      </c>
      <c r="AU7" s="24" t="str">
        <f aca="false">LEFT(TEXT(AU6,"ddd"),1)</f>
        <v>T</v>
      </c>
      <c r="AV7" s="24" t="str">
        <f aca="false">LEFT(TEXT(AV6,"ddd"),1)</f>
        <v>W</v>
      </c>
      <c r="AW7" s="24" t="str">
        <f aca="false">LEFT(TEXT(AW6,"ddd"),1)</f>
        <v>T</v>
      </c>
      <c r="AX7" s="24" t="str">
        <f aca="false">LEFT(TEXT(AX6,"ddd"),1)</f>
        <v>F</v>
      </c>
      <c r="AY7" s="24" t="str">
        <f aca="false">LEFT(TEXT(AY6,"ddd"),1)</f>
        <v>S</v>
      </c>
      <c r="AZ7" s="24" t="str">
        <f aca="false">LEFT(TEXT(AZ6,"ddd"),1)</f>
        <v>S</v>
      </c>
      <c r="BA7" s="24" t="str">
        <f aca="false">LEFT(TEXT(BA6,"ddd"),1)</f>
        <v>M</v>
      </c>
      <c r="BB7" s="24" t="str">
        <f aca="false">LEFT(TEXT(BB6,"ddd"),1)</f>
        <v>T</v>
      </c>
      <c r="BC7" s="24" t="str">
        <f aca="false">LEFT(TEXT(BC6,"ddd"),1)</f>
        <v>W</v>
      </c>
      <c r="BD7" s="24" t="str">
        <f aca="false">LEFT(TEXT(BD6,"ddd"),1)</f>
        <v>T</v>
      </c>
      <c r="BE7" s="24" t="str">
        <f aca="false">LEFT(TEXT(BE6,"ddd"),1)</f>
        <v>F</v>
      </c>
      <c r="BF7" s="24" t="str">
        <f aca="false">LEFT(TEXT(BF6,"ddd"),1)</f>
        <v>S</v>
      </c>
      <c r="BG7" s="24" t="str">
        <f aca="false">LEFT(TEXT(BG6,"ddd"),1)</f>
        <v>S</v>
      </c>
      <c r="BH7" s="24" t="str">
        <f aca="false">LEFT(TEXT(BH6,"ddd"),1)</f>
        <v>M</v>
      </c>
      <c r="BI7" s="24" t="str">
        <f aca="false">LEFT(TEXT(BI6,"ddd"),1)</f>
        <v>T</v>
      </c>
      <c r="BJ7" s="24" t="str">
        <f aca="false">LEFT(TEXT(BJ6,"ddd"),1)</f>
        <v>W</v>
      </c>
      <c r="BK7" s="24" t="str">
        <f aca="false">LEFT(TEXT(BK6,"ddd"),1)</f>
        <v>T</v>
      </c>
      <c r="BL7" s="24" t="str">
        <f aca="false">LEFT(TEXT(BL6,"ddd"),1)</f>
        <v>F</v>
      </c>
      <c r="BM7" s="24" t="str">
        <f aca="false">LEFT(TEXT(BM6,"ddd"),1)</f>
        <v>S</v>
      </c>
      <c r="BN7" s="24" t="str">
        <f aca="false">LEFT(TEXT(BN6,"ddd"),1)</f>
        <v>S</v>
      </c>
      <c r="BO7" s="24" t="str">
        <f aca="false">LEFT(TEXT(BO6,"ddd"),1)</f>
        <v>M</v>
      </c>
      <c r="BP7" s="24" t="str">
        <f aca="false">LEFT(TEXT(BP6,"ddd"),1)</f>
        <v>T</v>
      </c>
      <c r="BQ7" s="24" t="str">
        <f aca="false">LEFT(TEXT(BQ6,"ddd"),1)</f>
        <v>W</v>
      </c>
      <c r="BR7" s="24" t="str">
        <f aca="false">LEFT(TEXT(BR6,"ddd"),1)</f>
        <v>T</v>
      </c>
      <c r="BS7" s="24" t="str">
        <f aca="false">LEFT(TEXT(BS6,"ddd"),1)</f>
        <v>F</v>
      </c>
      <c r="BT7" s="24" t="str">
        <f aca="false">LEFT(TEXT(BT6,"ddd"),1)</f>
        <v>S</v>
      </c>
      <c r="BU7" s="24" t="str">
        <f aca="false">LEFT(TEXT(BU6,"ddd"),1)</f>
        <v>S</v>
      </c>
    </row>
    <row r="8" customFormat="false" hidden="false" outlineLevel="0" collapsed="false">
      <c r="A8" s="25" t="n">
        <v>1.0</v>
      </c>
      <c r="B8" s="26" t="s">
        <v>33</v>
      </c>
      <c r="C8" s="27" t="s">
        <v>34</v>
      </c>
      <c r="D8" s="28" t="s">
        <v>35</v>
      </c>
      <c r="E8" s="28" t="s">
        <v>36</v>
      </c>
      <c r="F8" s="29" t="s">
        <v>37</v>
      </c>
      <c r="G8" s="25" t="s">
        <v>38</v>
      </c>
      <c r="H8" s="30" t="n">
        <v>0.3</v>
      </c>
      <c r="I8" s="31" t="n">
        <v>46188.0</v>
      </c>
      <c r="J8" s="31" t="n">
        <f aca="false">WORKDAY(I8,ROUND(H8*5,0)-1)</f>
        <v>46189.0</v>
      </c>
      <c r="K8" s="31"/>
      <c r="L8" s="31"/>
      <c r="M8" s="32" t="str">
        <f aca="false">IF(OR(ISBLANK(K8),ISBLANK(L8)),"",NETWORKDAYS(K8,L8)/5)</f>
        <v/>
      </c>
      <c r="N8" s="33"/>
      <c r="O8" s="25" t="str">
        <f aca="false">IF($N8&gt;=1,"Completed",
 IF($N8=0,"Not Started",
 "In Progress"))</f>
        <v>Not Started</v>
      </c>
      <c r="P8" s="25" t="str">
        <f aca="true">IF($N8&gt;=1,
    IF($M8&gt;$K8,"Delayed","On Track"),
 IF(TODAY()&lt;$J8,
    "On Track",
 IF(AND($N8=0,TODAY()&gt;$K8),
    "Delayed",
 IF(AND($L8&lt;&gt;"",$L8&gt;$J8),
    "At Risk",
 IF(TODAY()&gt;$K8,
    "Delayed",
 "On Track")))))</f>
        <v>Delayed</v>
      </c>
      <c r="Q8" s="37" t="s">
        <v>38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X8" s="36"/>
      <c r="BY8" s="36"/>
      <c r="BZ8" s="36"/>
      <c r="CA8" s="36"/>
      <c r="CB8" s="36"/>
      <c r="CC8" s="36"/>
      <c r="CD8" s="36"/>
    </row>
    <row r="9">
      <c r="A9" s="25" t="n">
        <v>2.0</v>
      </c>
      <c r="B9" s="26" t="s">
        <v>33</v>
      </c>
      <c r="C9" s="27" t="s">
        <v>34</v>
      </c>
      <c r="D9" s="28" t="s">
        <v>35</v>
      </c>
      <c r="E9" s="28" t="s">
        <v>36</v>
      </c>
      <c r="F9" s="29" t="s">
        <v>39</v>
      </c>
      <c r="G9" s="25" t="s">
        <v>38</v>
      </c>
      <c r="H9" s="30" t="n">
        <v>0.2</v>
      </c>
      <c r="I9" s="31" t="n">
        <v>46190.0</v>
      </c>
      <c r="J9" s="31" t="n">
        <f>WORKDAY(I9,ROUND(H9*5,0)-1)</f>
        <v>46190.0</v>
      </c>
      <c r="K9" s="31"/>
      <c r="L9" s="31"/>
      <c r="M9" s="32" t="str">
        <f>IF(OR(ISBLANK(K9),ISBLANK(L9)),"",NETWORKDAYS(K9,L9)/5)</f>
        <v/>
      </c>
      <c r="N9" s="33"/>
      <c r="O9" s="25" t="str">
        <f>IF($N9&gt;=1,"Completed",
 IF($N9=0,"Not Started",
 "In Progress"))</f>
        <v>Not Started</v>
      </c>
      <c r="P9" s="25" t="str">
        <f>IF($N9&gt;=1,
    IF($M9&gt;$K9,"Delayed","On Track"),
 IF(TODAY()&lt;$J9,
    "On Track",
 IF(AND($N9=0,TODAY()&gt;$K9),
    "Delayed",
 IF(AND($L9&lt;&gt;"",$L9&gt;$J9),
    "At Risk",
 IF(TODAY()&gt;$K9,
    "Delayed",
 "On Track")))))</f>
        <v>Delayed</v>
      </c>
      <c r="Q9" s="38" t="s">
        <v>38</v>
      </c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X9" s="36"/>
      <c r="BY9" s="36"/>
      <c r="BZ9" s="36"/>
      <c r="CA9" s="36"/>
      <c r="CB9" s="36"/>
      <c r="CC9" s="36"/>
      <c r="CD9" s="36"/>
    </row>
    <row r="10">
      <c r="A10" s="25" t="n">
        <v>3.0</v>
      </c>
      <c r="B10" s="26" t="s">
        <v>33</v>
      </c>
      <c r="C10" s="27" t="s">
        <v>34</v>
      </c>
      <c r="D10" s="28" t="s">
        <v>35</v>
      </c>
      <c r="E10" s="28" t="s">
        <v>36</v>
      </c>
      <c r="F10" s="29" t="s">
        <v>40</v>
      </c>
      <c r="G10" s="25" t="s">
        <v>38</v>
      </c>
      <c r="H10" s="30" t="n">
        <v>0.2</v>
      </c>
      <c r="I10" s="31" t="n">
        <v>46190.0</v>
      </c>
      <c r="J10" s="31" t="n">
        <f>WORKDAY(I10,ROUND(H10*5,0)-1)</f>
        <v>46190.0</v>
      </c>
      <c r="K10" s="31"/>
      <c r="L10" s="31"/>
      <c r="M10" s="32" t="str">
        <f>IF(OR(ISBLANK(K10),ISBLANK(L10)),"",NETWORKDAYS(K10,L10)/5)</f>
        <v/>
      </c>
      <c r="N10" s="33"/>
      <c r="O10" s="25" t="str">
        <f>IF($N10&gt;=1,"Completed",
 IF($N10=0,"Not Started",
 "In Progress"))</f>
        <v>Not Started</v>
      </c>
      <c r="P10" s="25" t="str">
        <f>IF($N10&gt;=1,
    IF($M10&gt;$K10,"Delayed","On Track"),
 IF(TODAY()&lt;$J10,
    "On Track",
 IF(AND($N10=0,TODAY()&gt;$K10),
    "Delayed",
 IF(AND($L10&lt;&gt;"",$L10&gt;$J10),
    "At Risk",
 IF(TODAY()&gt;$K10,
    "Delayed",
 "On Track")))))</f>
        <v>Delayed</v>
      </c>
      <c r="Q10" s="39" t="s">
        <v>38</v>
      </c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X10" s="36"/>
      <c r="BY10" s="36"/>
      <c r="BZ10" s="36"/>
      <c r="CA10" s="36"/>
      <c r="CB10" s="36"/>
      <c r="CC10" s="36"/>
      <c r="CD10" s="36"/>
    </row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1:P1"/>
    <mergeCell ref="A2:C2"/>
    <mergeCell ref="D2:P2"/>
    <mergeCell ref="R2:Y2"/>
    <mergeCell ref="Z2:AE2"/>
    <mergeCell ref="AF2:BU2"/>
    <mergeCell ref="A3:C3"/>
    <mergeCell ref="D3:P3"/>
    <mergeCell ref="R3:Y3"/>
    <mergeCell ref="Z3:AE3"/>
    <mergeCell ref="AF3:BU3"/>
    <mergeCell ref="A4:C4"/>
    <mergeCell ref="D4:P4"/>
    <mergeCell ref="R4:BU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R5:X5"/>
    <mergeCell ref="Y5:AE5"/>
    <mergeCell ref="AF5:AL5"/>
    <mergeCell ref="AM5:AS5"/>
    <mergeCell ref="AT5:AZ5"/>
    <mergeCell ref="BA5:BG5"/>
    <mergeCell ref="BH5:BN5"/>
    <mergeCell ref="BO5:BU5"/>
    <mergeCell ref="BX8:CD8"/>
  </mergeCells>
  <conditionalFormatting sqref="P8">
    <cfRule type="expression" priority="2" aboveAverage="0" equalAverage="0" bottom="0" percent="0" rank="0" text="" dxfId="0">
      <formula>$P8="At Risk"</formula>
    </cfRule>
    <cfRule type="expression" priority="3" aboveAverage="0" equalAverage="0" bottom="0" percent="0" rank="0" text="" dxfId="1">
      <formula>$P8="On Track"</formula>
    </cfRule>
    <cfRule type="expression" priority="4" aboveAverage="0" equalAverage="0" bottom="0" percent="0" rank="0" text="" dxfId="2">
      <formula>$P8="Delayed"</formula>
    </cfRule>
  </conditionalFormatting>
  <conditionalFormatting sqref="F8">
    <cfRule type="expression" priority="5" aboveAverage="0" equalAverage="0" bottom="0" percent="0" rank="0" text="" dxfId="3">
      <formula>AND($O8&lt;&gt;"",EXACT($O8,"In Progress"))</formula>
    </cfRule>
    <cfRule type="expression" priority="6" aboveAverage="0" equalAverage="0" bottom="0" percent="0" rank="0" text="" dxfId="4">
      <formula>AND($O8&lt;&gt;"",EXACT($O8,"Completed"))</formula>
    </cfRule>
    <cfRule type="expression" priority="7" aboveAverage="0" equalAverage="0" bottom="0" percent="0" rank="0" text="" dxfId="5">
      <formula>AND($O8&lt;&gt;"",EXACT($O8,"At Risk"))</formula>
    </cfRule>
    <cfRule type="expression" priority="8" aboveAverage="0" equalAverage="0" bottom="0" percent="0" rank="0" text="" dxfId="6">
      <formula>AND($O8&lt;&gt;"",EXACT($O8,"Delayed"))</formula>
    </cfRule>
  </conditionalFormatting>
  <conditionalFormatting sqref="O8">
    <cfRule type="expression" priority="9" aboveAverage="0" equalAverage="0" bottom="0" percent="0" rank="0" text="" dxfId="7">
      <formula>$O8="In Progress"</formula>
    </cfRule>
    <cfRule type="expression" priority="10" aboveAverage="0" equalAverage="0" bottom="0" percent="0" rank="0" text="" dxfId="8">
      <formula>$O8="Completed"</formula>
    </cfRule>
  </conditionalFormatting>
  <conditionalFormatting sqref="R6:BU8">
    <cfRule type="expression" priority="11" aboveAverage="0" equalAverage="0" bottom="0" percent="0" rank="0" text="" dxfId="9">
      <formula>AND(TODAY()&gt;=R$6, TODAY()&lt;S$6)</formula>
    </cfRule>
  </conditionalFormatting>
  <conditionalFormatting sqref="R8:BU8">
    <cfRule type="expression" priority="12" aboveAverage="0" equalAverage="0" bottom="0" percent="0" rank="0" text="" dxfId="10">
      <formula>AND(task_start&lt;=R$6,ROUNDDOWN((task_end-task_start+1)*task_progress,0)+task_start-1&gt;=R$6)</formula>
    </cfRule>
    <cfRule type="expression" priority="13" aboveAverage="0" equalAverage="0" bottom="0" percent="0" rank="0" text="" dxfId="11">
      <formula>AND(task_end&gt;=R$6,task_start&lt;S$6)</formula>
    </cfRule>
  </conditionalFormatting>
  <conditionalFormatting sqref="N8">
    <cfRule type="dataBar" priority="14">
      <dataBar showValue="1" minLength="10" maxLength="90">
        <cfvo type="min" val="0"/>
        <cfvo type="max" val="0"/>
        <color rgb="FF4E95D9"/>
      </dataBar>
      <extLst>
        <ext uri="{B025F937-C7B1-47D3-B67F-A62EFF666E3E}">
          <x14:id>{47D0D360-C06B-4C7C-94E7-971D4A244FDB}</x14:id>
        </ext>
      </extLst>
    </cfRule>
  </conditionalFormatting>
  <conditionalFormatting sqref="C8">
    <cfRule type="expression" priority="15" aboveAverage="0" equalAverage="0" bottom="0" percent="0" rank="0" text="" dxfId="12">
      <formula>AND($B8&lt;&gt;"", COUNTIFS($B$8:$B$103,$B8,$O$8:$O$103,"Delayed")=0, COUNTIFS($B$8:$B$103,$B8,$O$8:$O$103,"At Risk")&gt;0)</formula>
    </cfRule>
    <cfRule type="expression" priority="16" aboveAverage="0" equalAverage="0" bottom="0" percent="0" rank="0" text="" dxfId="13">
      <formula>AND($B8&lt;&gt;"", COUNTIFS($B$8:$B$103,$B8,$O$8:$O$103,"Delayed")&gt;0)</formula>
    </cfRule>
    <cfRule type="expression" priority="17" aboveAverage="0" equalAverage="0" bottom="0" percent="0" rank="0" text="" dxfId="14">
      <formula>AND($B8&lt;&gt;"", COUNTIFS($B$8:$B$103,$B8,$O$8:$O$103,"Delayed")=0, COUNTIFS($B$8:$B$103,$B8,$O$8:$O$103,"At Risk")=0, COUNTIFS($B$8:$B$103,$B8,$O$8:$O$103,"In Progress")&gt;0)</formula>
    </cfRule>
    <cfRule type="expression" priority="18" aboveAverage="0" equalAverage="0" bottom="0" percent="0" rank="0" text="" dxfId="15">
      <formula>AND($B8&lt;&gt;"",COUNTIFS($B$8:$B$103,$B8,$O$8:$O$103,"&lt;&gt;Completed")=0)</formula>
    </cfRule>
  </conditionalFormatting>
  <conditionalFormatting sqref="D8">
    <cfRule type="expression" priority="19" aboveAverage="0" equalAverage="0" bottom="0" percent="0" rank="0" text="" dxfId="16">
      <formula>AND($D8&lt;&gt;"", COUNTIFS($D$8:$D$103,$D8,$O$8:$O$103,"Delayed")=0, COUNTIFS($D$8:$D$103,$D8,$O$8:$O$103,"At Risk")&gt;0)</formula>
    </cfRule>
    <cfRule type="expression" priority="20" aboveAverage="0" equalAverage="0" bottom="0" percent="0" rank="0" text="" dxfId="17">
      <formula>AND($D8&lt;&gt;"",COUNTIFS($D$8:$D$103,$D8,$O$8:$O$103,"Delayed")&gt;0)</formula>
    </cfRule>
    <cfRule type="expression" priority="21" aboveAverage="0" equalAverage="0" bottom="0" percent="0" rank="0" text="" dxfId="18">
      <formula>AND($D8&lt;&gt;"", COUNTIFS($D$8:$D$103,$D8,$O$8:$O$103,"Delayed")=0, COUNTIFS($D$8:$D$103,$D8,$O$8:$O$103,"In Progress")&gt;0)</formula>
    </cfRule>
    <cfRule type="expression" priority="22" aboveAverage="0" equalAverage="0" bottom="0" percent="0" rank="0" text="" dxfId="19">
      <formula>AND($D8&lt;&gt;"",COUNTIFS($D$8:$D$103,$D8,$O$8:$O$103,"&lt;&gt;Completed")=0)</formula>
    </cfRule>
  </conditionalFormatting>
  <conditionalFormatting sqref="E8">
    <cfRule type="expression" priority="23" aboveAverage="0" equalAverage="0" bottom="0" percent="0" rank="0" text="" dxfId="20">
      <formula>AND($E8&lt;&gt;"",COUNTIFS($E$8:$E$103,$E8,$O$8:$O$103,"At Risk")&gt;0)</formula>
    </cfRule>
    <cfRule type="expression" priority="24" aboveAverage="0" equalAverage="0" bottom="0" percent="0" rank="0" text="" dxfId="21">
      <formula>AND($E8&lt;&gt;"",COUNTIFS($E$8:$E$103,$E8,$O$8:$O$103,"Delayed")&gt;0)</formula>
    </cfRule>
    <cfRule type="expression" priority="25" aboveAverage="0" equalAverage="0" bottom="0" percent="0" rank="0" text="" dxfId="22">
      <formula>AND($E8&lt;&gt;"", COUNTIFS($E$8:$E$103,$E8,$O$8:$O$103,"In Progress")&gt;0, COUNTIFS($E$8:$E$103,$E8,$O$8:$O$103,"Completed")&lt;COUNTIFS($E$8:$E$103,$E8,$F$8:$F$103,"&lt;&gt;"))</formula>
    </cfRule>
    <cfRule type="expression" priority="26" aboveAverage="0" equalAverage="0" bottom="0" percent="0" rank="0" text="" dxfId="23">
      <formula>AND($E8&lt;&gt;"",COUNTIFS($E$8:$E$103,$E8,$O$8:$O$103,"&lt;&gt;Completed")=0)</formula>
    </cfRule>
  </conditionalFormatting>
  <printOptions headings="false" gridLines="false" gridLinesSet="true" horizontalCentered="true" verticalCentered="false"/>
  <pageMargins left="0.35" right="0.35" top="0.35" bottom="0.347222222222222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legacyDrawing r:id="rId2"/>
  <extLst>
    <ext uri="{78C0D931-6437-407d-A8EE-F0AAD7539E65}">
      <x14:conditionalFormattings>
        <x14:conditionalFormatting xmlns:xm="http://schemas.microsoft.com/office/excel/2006/main">
          <x14:cfRule type="dataBar" id="{47D0D360-C06B-4C7C-94E7-971D4A244FDB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N8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245281-08F3-4104-84BD-39F3D8CFB195}"/>
</file>

<file path=customXml/itemProps2.xml><?xml version="1.0" encoding="utf-8"?>
<ds:datastoreItem xmlns:ds="http://schemas.openxmlformats.org/officeDocument/2006/customXml" ds:itemID="{A82239A0-E68C-493F-BEE6-C77FEA397FD6}"/>
</file>

<file path=customXml/itemProps3.xml><?xml version="1.0" encoding="utf-8"?>
<ds:datastoreItem xmlns:ds="http://schemas.openxmlformats.org/officeDocument/2006/customXml" ds:itemID="{C2348D59-3426-404A-A0C5-6456F6613E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TM16400962</Template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2026-04-16T07:39:30Z</dcterms:created>
  <dc:language>en-IN</dc:language>
  <dcterms:modified xsi:type="dcterms:W3CDTF">2026-07-06T15:10:53Z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