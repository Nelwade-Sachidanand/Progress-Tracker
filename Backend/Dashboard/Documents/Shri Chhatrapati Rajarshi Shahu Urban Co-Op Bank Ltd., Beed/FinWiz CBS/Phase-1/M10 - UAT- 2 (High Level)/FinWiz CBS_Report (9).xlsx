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relationships+xml" PartName="/_rels/.rels"/>
  <Override ContentType="application/vnd.openxmlformats-package.relationships+xml" PartName="/customXml/_rels/item1.xml.rels"/>
  <Override ContentType="application/vnd.openxmlformats-package.relationships+xml" PartName="/customXml/_rels/item2.xml.rels"/>
  <Override ContentType="application/vnd.openxmlformats-package.relationships+xml" PartName="/customXml/_rels/item3.xml.rels"/>
  <Override ContentType="application/xml" PartName="/customXml/item1.xml"/>
  <Override ContentType="application/xml" PartName="/customXml/item2.xml"/>
  <Override ContentType="application/xml" PartName="/customXml/item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Relationship Id="rId8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Wiz_Project_Schedule" sheetId="1" state="visible" r:id="rId3"/>
  </sheets>
  <definedNames>
    <definedName function="false" hidden="false" localSheetId="0" name="_xlnm.Print_Titles" vbProcedure="false">FinWiz_Project_Schedule!$5:$7</definedName>
    <definedName function="false" hidden="false" name="Actual_End" vbProcedure="false">FinWiz_Project_Schedule!$L$8</definedName>
    <definedName function="false" hidden="false" name="Display_Week" vbProcedure="false">FinWiz_Project_Schedule!$Z$3</definedName>
    <definedName function="false" hidden="false" name="Planned_End" vbProcedure="false">FinWiz_Project_Schedule!$J$8</definedName>
    <definedName function="false" hidden="false" name="Progress" vbProcedure="false">FinWiz_Project_Schedule!$N$8</definedName>
    <definedName function="false" hidden="false" name="Project_Start" vbProcedure="false">FinWiz_Project_Schedule!$Z$2</definedName>
    <definedName function="false" hidden="false" localSheetId="0" name="task_end" vbProcedure="false">FinWiz_Project_Schedule!$L1</definedName>
    <definedName function="false" hidden="false" localSheetId="0" name="task_progress" vbProcedure="false">FinWiz_Project_Schedule!$E1</definedName>
    <definedName function="false" hidden="false" localSheetId="0" name="task_start" vbProcedure="false">FinWiz_Project_Schedule!$K1</definedName>
    <definedName function="false" hidden="false" localSheetId="0" name="today" vbProcedure="false">TODAY()</definedName>
  </definedNames>
  <calcPr iterateCount="100" refMode="A1" iterate="false" iterateDelta="0.0001" fullCalcOnLoad="true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Pranav Kashikar</author>
  </authors>
  <commentList>
    <comment ref="H5" authorId="0">
      <text>
        <r>
          <rPr>
            <sz val="10"/>
            <rFont val="Arial"/>
            <family val="2"/>
          </rPr>
          <t xml:space="preserve">Pranav Kashikar:
</t>
        </r>
        <r>
          <rPr>
            <sz val="9"/>
            <color rgb="FF000000"/>
            <rFont val="Tahoma"/>
            <family val="0"/>
            <charset val="1"/>
          </rPr>
          <t xml:space="preserve">Half Day : 0.1
1 Day : 0.2
2 Days : 0.4
3 Days : 0.6
1 Week : 1
2 Weeks : 2</t>
        </r>
      </text>
    </comment>
  </commentList>
</comments>
</file>

<file path=xl/sharedStrings.xml><?xml version="1.0" encoding="utf-8"?>
<sst xmlns="http://schemas.openxmlformats.org/spreadsheetml/2006/main" count="810" uniqueCount="240">
  <si>
    <t xml:space="preserve">Novillex Technologies Private Ltd.</t>
  </si>
  <si>
    <t xml:space="preserve">Name of Bank:</t>
  </si>
  <si>
    <t xml:space="preserve">Shri Chhatrapati Rajarshi Shahu Urban Co-Op Bank Ltd., Beed</t>
  </si>
  <si>
    <t xml:space="preserve">Project Start Date</t>
  </si>
  <si>
    <t xml:space="preserve">Name of Project:</t>
  </si>
  <si>
    <t xml:space="preserve">FinWiz CBS</t>
  </si>
  <si>
    <t xml:space="preserve">Display week:</t>
  </si>
  <si>
    <t xml:space="preserve">Project Manager:</t>
  </si>
  <si>
    <t xml:space="preserve">Pranav Kashikar</t>
  </si>
  <si>
    <t xml:space="preserve">Sr. No.</t>
  </si>
  <si>
    <t xml:space="preserve">Phase</t>
  </si>
  <si>
    <t xml:space="preserve">Milestone</t>
  </si>
  <si>
    <t xml:space="preserve">Task</t>
  </si>
  <si>
    <t xml:space="preserve">Sub-Task</t>
  </si>
  <si>
    <t xml:space="preserve">Activity</t>
  </si>
  <si>
    <t xml:space="preserve">Owner</t>
  </si>
  <si>
    <t xml:space="preserve">Estimated Period 
(in week)</t>
  </si>
  <si>
    <t xml:space="preserve">Planned Start Date</t>
  </si>
  <si>
    <t xml:space="preserve">Planned 
End Date</t>
  </si>
  <si>
    <t xml:space="preserve">Actual 
Start Date</t>
  </si>
  <si>
    <t xml:space="preserve">Actual 
End Date</t>
  </si>
  <si>
    <t xml:space="preserve">Actual
Period
(in week)</t>
  </si>
  <si>
    <t xml:space="preserve">Progress</t>
  </si>
  <si>
    <t xml:space="preserve">Execution Status</t>
  </si>
  <si>
    <t xml:space="preserve">Schedule Health</t>
  </si>
  <si>
    <t xml:space="preserve">Phase-1</t>
  </si>
  <si>
    <t xml:space="preserve">M01 - Project Initiation &amp; Governance</t>
  </si>
  <si>
    <t xml:space="preserve">Project Kickoff</t>
  </si>
  <si>
    <t xml:space="preserve">Kickoff Meeting</t>
  </si>
  <si>
    <t xml:space="preserve">Introduce stakeholders</t>
  </si>
  <si>
    <t>Shri Chhatrapati Rajarshi Shahu Urban Co-Op Bank Ltd., Beed</t>
  </si>
  <si>
    <t>FinWiz CBS</t>
  </si>
  <si>
    <t>Pranav Kashikar</t>
  </si>
  <si>
    <t>Phase-1</t>
  </si>
  <si>
    <t>M01 - Project Initiation &amp; Governance</t>
  </si>
  <si>
    <t>Project Kickoff</t>
  </si>
  <si>
    <t>Kickoff Meeting</t>
  </si>
  <si>
    <t>Introduce stakeholders</t>
  </si>
  <si>
    <t/>
  </si>
  <si>
    <t>Define scope objectives success criteria</t>
  </si>
  <si>
    <t>Identify stakeholders Business IT Ops Finance</t>
  </si>
  <si>
    <t>Governance Setup</t>
  </si>
  <si>
    <t>Governance Model</t>
  </si>
  <si>
    <t>Steering committee formation</t>
  </si>
  <si>
    <t>Define escalation matrix</t>
  </si>
  <si>
    <t>Define approval hierarchy</t>
  </si>
  <si>
    <t>Project Planning</t>
  </si>
  <si>
    <t>Implementation Planning</t>
  </si>
  <si>
    <t>Define timelines milestones</t>
  </si>
  <si>
    <t>Resource allocation Bank Vendor</t>
  </si>
  <si>
    <t>Risk identification</t>
  </si>
  <si>
    <t>Communication Setup</t>
  </si>
  <si>
    <t>Reporting Framework</t>
  </si>
  <si>
    <t>Define reporting cadence</t>
  </si>
  <si>
    <t>Setup status templates</t>
  </si>
  <si>
    <t>Define escalation reporting</t>
  </si>
  <si>
    <t>M02 - Data Migration – Iteration 1</t>
  </si>
  <si>
    <t>Data Understanding</t>
  </si>
  <si>
    <t>Source Analysis</t>
  </si>
  <si>
    <t>Study legacy CBS</t>
  </si>
  <si>
    <t>Identify data sources</t>
  </si>
  <si>
    <t>History Data Migration</t>
  </si>
  <si>
    <t>Data Mapping</t>
  </si>
  <si>
    <t>Mapping Definition</t>
  </si>
  <si>
    <t>Map legacy to CBS fields</t>
  </si>
  <si>
    <t>Define transformation logic</t>
  </si>
  <si>
    <t>Data Cleansing</t>
  </si>
  <si>
    <t>Data Quality</t>
  </si>
  <si>
    <t>Remove duplicates</t>
  </si>
  <si>
    <t>Correct inconsistencies</t>
  </si>
  <si>
    <t>Migration Execution</t>
  </si>
  <si>
    <t>Trial Migration</t>
  </si>
  <si>
    <t>Load customer data</t>
  </si>
  <si>
    <t>Load account data</t>
  </si>
  <si>
    <t>Load Transaction data</t>
  </si>
  <si>
    <t>Validation &amp; Reconciliation</t>
  </si>
  <si>
    <t>Data Validation</t>
  </si>
  <si>
    <t>Migrated Data Validation*</t>
  </si>
  <si>
    <t>Financial Validation</t>
  </si>
  <si>
    <t>Financial Report Validation*</t>
  </si>
  <si>
    <t>Exception identification</t>
  </si>
  <si>
    <t>M03 - Requirement Validation &amp; Gap Analysis</t>
  </si>
  <si>
    <t>Requirement Workshops</t>
  </si>
  <si>
    <t>Core Modules</t>
  </si>
  <si>
    <t>Core Module List*</t>
  </si>
  <si>
    <t>Digital Channels</t>
  </si>
  <si>
    <t>Digital Channel Module List*</t>
  </si>
  <si>
    <t>Integration Requirements</t>
  </si>
  <si>
    <t>NPCI Rails</t>
  </si>
  <si>
    <t>UPI IMPS NACH AEPS NFS BBPS FASTag</t>
  </si>
  <si>
    <t>RBI Systems</t>
  </si>
  <si>
    <t>NEFT RTGS</t>
  </si>
  <si>
    <t>Government Systems</t>
  </si>
  <si>
    <t>PFMS DBT CBDT</t>
  </si>
  <si>
    <t>Mandate</t>
  </si>
  <si>
    <t>eNACH registration debit lifecycle</t>
  </si>
  <si>
    <t>Switch &amp; Channels</t>
  </si>
  <si>
    <t>ATM POS UPI IMPS routing</t>
  </si>
  <si>
    <t>Gap Analysis</t>
  </si>
  <si>
    <t>Gap Identification</t>
  </si>
  <si>
    <t>Identify gaps</t>
  </si>
  <si>
    <t>Gap Prioritization</t>
  </si>
  <si>
    <t>Categorize gaps</t>
  </si>
  <si>
    <t>Sign-off</t>
  </si>
  <si>
    <t>Approval</t>
  </si>
  <si>
    <t>Requirement gap sign-off</t>
  </si>
  <si>
    <t>M04 - Solution Design &amp; Configuration</t>
  </si>
  <si>
    <t>Solution Design</t>
  </si>
  <si>
    <t>Architecture Design</t>
  </si>
  <si>
    <t>CBS architecture</t>
  </si>
  <si>
    <t>Integration architecture (third party vendor)</t>
  </si>
  <si>
    <t>Product Configuration</t>
  </si>
  <si>
    <t>Setup</t>
  </si>
  <si>
    <t>Product Checklist*</t>
  </si>
  <si>
    <t>Accounting Setup</t>
  </si>
  <si>
    <t>GL Product Setup</t>
  </si>
  <si>
    <t>GL mapping interest charges*</t>
  </si>
  <si>
    <t>Integration Design</t>
  </si>
  <si>
    <t>NPCI Design</t>
  </si>
  <si>
    <t>API file structure sponsor bank</t>
  </si>
  <si>
    <t>RBI Design</t>
  </si>
  <si>
    <t>NEFT RTGS design</t>
  </si>
  <si>
    <t>Switch Design</t>
  </si>
  <si>
    <t>Government Design</t>
  </si>
  <si>
    <t>PFMS DBT flows</t>
  </si>
  <si>
    <t>Settlement Design</t>
  </si>
  <si>
    <t>Reconciliation</t>
  </si>
  <si>
    <t>Settlement flows reconciliation</t>
  </si>
  <si>
    <t>Mandate Design</t>
  </si>
  <si>
    <t>Lifecycle</t>
  </si>
  <si>
    <t>Registration execution cancellation</t>
  </si>
  <si>
    <t>M05 - Development &amp; Gap Closure</t>
  </si>
  <si>
    <t>Core Development</t>
  </si>
  <si>
    <t>Gap Development</t>
  </si>
  <si>
    <t>Critical high gaps</t>
  </si>
  <si>
    <t>Integration Development</t>
  </si>
  <si>
    <t>NPCI</t>
  </si>
  <si>
    <t>UPI IMPS NACH AEPS</t>
  </si>
  <si>
    <t>RBI</t>
  </si>
  <si>
    <t>Switch</t>
  </si>
  <si>
    <t>ATM POS UPI IMPS</t>
  </si>
  <si>
    <t>Government</t>
  </si>
  <si>
    <t>Mandate Engine</t>
  </si>
  <si>
    <t>Development</t>
  </si>
  <si>
    <t>Registration validation execution</t>
  </si>
  <si>
    <t>M06 - Testing (QA + SIT)</t>
  </si>
  <si>
    <t>Test Planning</t>
  </si>
  <si>
    <t>Strategy</t>
  </si>
  <si>
    <t>Test strategy test cases</t>
  </si>
  <si>
    <t>Functional Testing</t>
  </si>
  <si>
    <t>CBS</t>
  </si>
  <si>
    <t>Core Module + Functionalities List*</t>
  </si>
  <si>
    <t>Integration Testing</t>
  </si>
  <si>
    <t>UPI IMPS NACH</t>
  </si>
  <si>
    <t>ATM POS</t>
  </si>
  <si>
    <t>Third Party Vendor</t>
  </si>
  <si>
    <t>Settlement Testing</t>
  </si>
  <si>
    <t>Validation</t>
  </si>
  <si>
    <t>Settlement GL Transactions</t>
  </si>
  <si>
    <t>Failure Testing</t>
  </si>
  <si>
    <t>Scenarios</t>
  </si>
  <si>
    <t>Timeout reversal duplicate</t>
  </si>
  <si>
    <t>M07 - Training</t>
  </si>
  <si>
    <t>Training Preparation</t>
  </si>
  <si>
    <t>Material</t>
  </si>
  <si>
    <t>Training materials SOP</t>
  </si>
  <si>
    <t>Training Execution</t>
  </si>
  <si>
    <t>Technical</t>
  </si>
  <si>
    <t>IT admin</t>
  </si>
  <si>
    <t>Users</t>
  </si>
  <si>
    <t>Branch operations</t>
  </si>
  <si>
    <t>M08 - UAT- 1 (Bank Level)</t>
  </si>
  <si>
    <t>UAT Planning</t>
  </si>
  <si>
    <t>Define scope users</t>
  </si>
  <si>
    <t>UAT Execution</t>
  </si>
  <si>
    <t>Core Banking</t>
  </si>
  <si>
    <t>Channels</t>
  </si>
  <si>
    <t>Payments</t>
  </si>
  <si>
    <t>UPI IMPS NACH NEFT RTGS AEPS CTS</t>
  </si>
  <si>
    <t>PFMS DBT</t>
  </si>
  <si>
    <t>Registration execution</t>
  </si>
  <si>
    <t>Settlement</t>
  </si>
  <si>
    <t>GL reconciliation exception</t>
  </si>
  <si>
    <t>Reporting</t>
  </si>
  <si>
    <t>Regulatory MIS*</t>
  </si>
  <si>
    <t>Issue Resolution</t>
  </si>
  <si>
    <t>Fixes</t>
  </si>
  <si>
    <t>Resolve defects revalidation</t>
  </si>
  <si>
    <t>Branch Ops Finance IT final</t>
  </si>
  <si>
    <t>M09 - Data Migration – Iteration 2</t>
  </si>
  <si>
    <t>Migration</t>
  </si>
  <si>
    <t>Execution</t>
  </si>
  <si>
    <t>Reload corrected data</t>
  </si>
  <si>
    <t>Final</t>
  </si>
  <si>
    <t>M10 - UAT- 2 (High Level)</t>
  </si>
  <si>
    <t>End to End</t>
  </si>
  <si>
    <t>Full system validation</t>
  </si>
  <si>
    <t>MIS regulatory</t>
  </si>
  <si>
    <t>One Day Voucher Posting</t>
  </si>
  <si>
    <t>Business approval</t>
  </si>
  <si>
    <t>M11 - Go-Live Readiness &amp; Sign-Off</t>
  </si>
  <si>
    <t>Infra readiness</t>
  </si>
  <si>
    <t>Data</t>
  </si>
  <si>
    <t>Migration approval</t>
  </si>
  <si>
    <t>Application</t>
  </si>
  <si>
    <t>System validation</t>
  </si>
  <si>
    <t>Integration</t>
  </si>
  <si>
    <t>NPCI RBI Switch validation</t>
  </si>
  <si>
    <t>Business</t>
  </si>
  <si>
    <t>User readiness</t>
  </si>
  <si>
    <t>Compliance</t>
  </si>
  <si>
    <t>Regulatory validation</t>
  </si>
  <si>
    <t>Go-live approval</t>
  </si>
  <si>
    <t>M12 - Go-Live</t>
  </si>
  <si>
    <t>Data Copy</t>
  </si>
  <si>
    <t>Data Backup &amp; Copy from Bank Environment</t>
  </si>
  <si>
    <t>Data Transfer</t>
  </si>
  <si>
    <t>Data transfer from Bank to Data Center</t>
  </si>
  <si>
    <t>Final Migration</t>
  </si>
  <si>
    <t>Production Data Restore</t>
  </si>
  <si>
    <t>MIS</t>
  </si>
  <si>
    <t>Activation</t>
  </si>
  <si>
    <t>Enable accounts transactions</t>
  </si>
  <si>
    <t>Mobile Internet APIs</t>
  </si>
  <si>
    <t>Monitoring</t>
  </si>
  <si>
    <t>Transactions</t>
  </si>
  <si>
    <t>Validate transactions</t>
  </si>
  <si>
    <t>Support</t>
  </si>
  <si>
    <t>Issue Handling</t>
  </si>
  <si>
    <t>Resolve issues</t>
  </si>
  <si>
    <t>M13 - Post Go-Live Stabilization</t>
  </si>
  <si>
    <t>Hypercare</t>
  </si>
  <si>
    <t>Onsite support</t>
  </si>
  <si>
    <t>Performance</t>
  </si>
  <si>
    <t>System monitoring</t>
  </si>
  <si>
    <t>Resolution</t>
  </si>
  <si>
    <t>Bug fixing</t>
  </si>
  <si>
    <t>Closure</t>
  </si>
  <si>
    <t>Documentation</t>
  </si>
  <si>
    <t>Closure lessons learned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</si>
</sst>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/d/yy;@"/>
    <numFmt numFmtId="166" formatCode="ddd&quot;, &quot;m/d/yyyy"/>
    <numFmt numFmtId="167" formatCode="[$-809]dd\ mmmm\ yyyy;@"/>
    <numFmt numFmtId="168" formatCode="d"/>
    <numFmt numFmtId="169" formatCode="[$-409]d/mmm/yy;@"/>
    <numFmt numFmtId="170" formatCode="0.0"/>
    <numFmt numFmtId="171" formatCode="0%"/>
  </numFmts>
  <fonts count="18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Arial"/>
      <family val="2"/>
      <charset val="1"/>
    </font>
    <font>
      <b val="true"/>
      <sz val="11"/>
      <color theme="0"/>
      <name val="Cambria"/>
      <family val="1"/>
      <charset val="1"/>
    </font>
    <font>
      <sz val="12"/>
      <color theme="0"/>
      <name val="Cambria"/>
      <family val="1"/>
      <charset val="1"/>
    </font>
    <font>
      <sz val="12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 val="true"/>
      <sz val="14"/>
      <name val="Cambria"/>
      <family val="1"/>
      <charset val="1"/>
    </font>
    <font>
      <sz val="12"/>
      <name val="Cambria"/>
      <family val="1"/>
      <charset val="1"/>
    </font>
    <font>
      <b val="true"/>
      <sz val="12"/>
      <name val="Cambria"/>
      <family val="1"/>
      <charset val="1"/>
    </font>
    <font>
      <b val="true"/>
      <sz val="11"/>
      <name val="Cambria"/>
      <family val="1"/>
      <charset val="1"/>
    </font>
    <font>
      <b val="true"/>
      <sz val="12"/>
      <color theme="1"/>
      <name val="Cambria"/>
      <family val="1"/>
      <charset val="1"/>
    </font>
    <font>
      <sz val="11"/>
      <name val="Cambria"/>
      <family val="1"/>
      <charset val="1"/>
    </font>
    <font>
      <sz val="10"/>
      <color theme="1"/>
      <name val="Cambria"/>
      <family val="1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2F2F2"/>
      </patternFill>
    </fill>
    <fill>
      <patternFill patternType="solid">
        <fgColor theme="9" tint="0.3999"/>
        <bgColor rgb="FF4E95D9"/>
      </patternFill>
    </fill>
    <fill>
      <patternFill patternType="solid">
        <fgColor theme="3" tint="0.4999"/>
        <bgColor rgb="FF6BA0F2"/>
      </patternFill>
    </fill>
    <fill>
      <patternFill patternType="solid">
        <fgColor theme="8" tint="0.3999"/>
        <bgColor rgb="FFFFCC99"/>
      </patternFill>
    </fill>
    <fill>
      <patternFill patternType="solid">
        <fgColor theme="7" tint="0.7999"/>
        <bgColor rgb="FFCCFFFF"/>
      </patternFill>
    </fill>
    <fill>
      <patternFill patternType="solid">
        <fgColor theme="9" tint="0.5999"/>
        <bgColor rgb="FFA6CAEC"/>
      </patternFill>
    </fill>
    <fill>
      <patternFill patternType="solid">
        <fgColor theme="6" tint="0.5999"/>
        <bgColor rgb="FFD9D9D9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 style="medium">
        <color theme="0" tint="-0.15"/>
      </top>
      <bottom style="medium">
        <color theme="0" tint="-0.15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1" tint="0.4999"/>
      </left>
      <right style="thin">
        <color theme="1" tint="0.4999"/>
      </right>
      <top style="thin">
        <color theme="1" tint="0.4999"/>
      </top>
      <bottom style="thin">
        <color theme="1" tint="0.4999"/>
      </bottom>
      <diagonal/>
    </border>
    <border diagonalUp="false" diagonalDown="false">
      <left style="thin">
        <color theme="3" tint="0.7499"/>
      </left>
      <right style="thin">
        <color theme="3" tint="0.7499"/>
      </right>
      <top/>
      <bottom style="thin">
        <color theme="3" tint="0.7499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3" tint="0.7499"/>
      </left>
      <right style="thin">
        <color theme="3" tint="0.7499"/>
      </right>
      <top style="thin">
        <color theme="3" tint="0.7499"/>
      </top>
      <bottom style="thin">
        <color theme="3" tint="0.7499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3" xfId="24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3" borderId="3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4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2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3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8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1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9" borderId="7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0" borderId="8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4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" xfId="20"/>
    <cellStyle name="Name" xfId="21"/>
    <cellStyle name="Project Start" xfId="22"/>
    <cellStyle name="Task" xfId="23"/>
    <cellStyle name="zHiddenText" xfId="24"/>
    <cellStyle name="Excel Built-in Heading 3" xfId="25"/>
  </cellStyles>
  <dxfs count="24">
    <dxf>
      <fill>
        <patternFill>
          <bgColor rgb="FFFF8264"/>
        </patternFill>
      </fill>
    </dxf>
    <dxf>
      <font>
        <color rgb="FFFFFFFF"/>
      </font>
      <fill>
        <patternFill>
          <bgColor rgb="FF92D050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border diagonalUp="false" diagonalDown="false">
        <left style="thin">
          <color theme="5"/>
        </left>
        <right style="thin">
          <color theme="5"/>
        </right>
        <top/>
        <bottom/>
        <diagonal/>
      </border>
    </dxf>
    <dxf>
      <fill>
        <patternFill>
          <bgColor theme="3" tint="0.7499"/>
        </patternFill>
      </fill>
      <border diagonalUp="false" diagonalDown="false">
        <left/>
        <right/>
        <top style="thin">
          <color theme="0" tint="-0.05"/>
        </top>
        <bottom style="thin">
          <color theme="0" tint="-0.05"/>
        </bottom>
        <diagonal/>
      </border>
    </dxf>
    <dxf>
      <fill>
        <patternFill>
          <bgColor theme="3" tint="0.2499"/>
        </patternFill>
      </fill>
      <border diagonalUp="false" diagonalDown="false">
        <left/>
        <right/>
        <top style="thin">
          <color theme="0" tint="-0.05"/>
        </top>
        <bottom style="thin">
          <color theme="0" tint="-0.05"/>
        </bottom>
        <diagonal/>
      </border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D800A6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6BA0F2"/>
      <rgbColor rgb="FF993366"/>
      <rgbColor rgb="FFF2F2F2"/>
      <rgbColor rgb="FFBDFCFF"/>
      <rgbColor rgb="FF660066"/>
      <rgbColor rgb="FFFF8264"/>
      <rgbColor rgb="FF215F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BEAD7"/>
      <rgbColor rgb="FFFFEE7D"/>
      <rgbColor rgb="FFA6CAEC"/>
      <rgbColor rgb="FFFF99CC"/>
      <rgbColor rgb="FF9CC0F7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TM16400962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6528f7"/>
      </a:accent1>
      <a:accent2>
        <a:srgbClr val="d800a6"/>
      </a:accent2>
      <a:accent3>
        <a:srgbClr val="7eca9c"/>
      </a:accent3>
      <a:accent4>
        <a:srgbClr val="00abb3"/>
      </a:accent4>
      <a:accent5>
        <a:srgbClr val="ffe227"/>
      </a:accent5>
      <a:accent6>
        <a:srgbClr val="1363df"/>
      </a:accent6>
      <a:hlink>
        <a:srgbClr val="467886"/>
      </a:hlink>
      <a:folHlink>
        <a:srgbClr val="96607d"/>
      </a:folHlink>
    </a:clrScheme>
    <a:fontScheme name="Custom 32">
      <a:majorFont>
        <a:latin typeface="Arial Black" pitchFamily="0" charset="1"/>
        <a:ea typeface=""/>
        <a:cs typeface=""/>
      </a:majorFont>
      <a:minorFont>
        <a:latin typeface="Arial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D1048576"/>
  <sheetViews>
    <sheetView showFormulas="false" showGridLines="fals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A9" activeCellId="0" sqref="A9"/>
    </sheetView>
  </sheetViews>
  <sheetFormatPr defaultColWidth="8.625" defaultRowHeight="15.75" customHeight="true" zeroHeight="false" outlineLevelRow="0" outlineLevelCol="0"/>
  <cols>
    <col min="1" max="1" customWidth="true" hidden="false" style="1" width="5.12" collapsed="false" outlineLevel="0"/>
    <col min="2" max="2" customWidth="true" hidden="false" style="2" width="10.0" collapsed="false" outlineLevel="0"/>
    <col min="3" max="3" customWidth="true" hidden="false" style="3" width="41.62" collapsed="false" outlineLevel="0"/>
    <col min="4" max="4" customWidth="true" hidden="false" style="4" width="22.5" collapsed="false" outlineLevel="0"/>
    <col min="5" max="5" customWidth="true" hidden="false" style="4" width="22.0" collapsed="false" outlineLevel="0"/>
    <col min="6" max="6" customWidth="true" hidden="false" style="5" width="37.38" collapsed="false" outlineLevel="0"/>
    <col min="7" max="7" customWidth="true" hidden="true" style="5" width="9.87" collapsed="false" outlineLevel="0"/>
    <col min="8" max="13" customWidth="true" hidden="false" style="6" width="11.62" collapsed="false" outlineLevel="0"/>
    <col min="14" max="14" customWidth="true" hidden="false" style="5" width="9.5" collapsed="false" outlineLevel="0"/>
    <col min="15" max="16" customWidth="true" hidden="false" style="5" width="10.26" collapsed="false" outlineLevel="0"/>
    <col min="17" max="17" customWidth="true" hidden="false" style="5" width="2.62" collapsed="false" outlineLevel="0"/>
    <col min="18" max="73" customWidth="true" hidden="false" style="5" width="3.38" collapsed="false" outlineLevel="0"/>
    <col min="74" max="74" customWidth="true" hidden="false" style="5" width="2.62" collapsed="false" outlineLevel="0"/>
    <col min="75" max="16384" customWidth="false" hidden="false" style="5" width="8.62" collapsed="false" outlineLevel="0"/>
  </cols>
  <sheetData>
    <row r="1" customFormat="false" ht="17.3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customFormat="false" ht="15.75" hidden="false" customHeight="true" outlineLevel="0" collapsed="false">
      <c r="A2" s="8" t="s">
        <v>1</v>
      </c>
      <c r="B2" s="8"/>
      <c r="C2" s="8"/>
      <c r="D2" s="9" t="s">
        <v>30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R2" s="10" t="s">
        <v>3</v>
      </c>
      <c r="S2" s="10"/>
      <c r="T2" s="10"/>
      <c r="U2" s="10"/>
      <c r="V2" s="10"/>
      <c r="W2" s="10"/>
      <c r="X2" s="10"/>
      <c r="Y2" s="10"/>
      <c r="Z2" s="11" t="n">
        <v>46184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</row>
    <row r="3" customFormat="false" ht="15.75" hidden="false" customHeight="true" outlineLevel="0" collapsed="false">
      <c r="A3" s="8" t="s">
        <v>4</v>
      </c>
      <c r="B3" s="8"/>
      <c r="C3" s="8"/>
      <c r="D3" s="9" t="s">
        <v>31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R3" s="10" t="s">
        <v>6</v>
      </c>
      <c r="S3" s="10"/>
      <c r="T3" s="10"/>
      <c r="U3" s="10"/>
      <c r="V3" s="10"/>
      <c r="W3" s="10"/>
      <c r="X3" s="10"/>
      <c r="Y3" s="10"/>
      <c r="Z3" s="12" t="n">
        <v>1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</row>
    <row r="4" customFormat="false" ht="15.75" hidden="false" customHeight="true" outlineLevel="0" collapsed="false">
      <c r="A4" s="8" t="s">
        <v>7</v>
      </c>
      <c r="B4" s="8"/>
      <c r="C4" s="8"/>
      <c r="D4" s="13" t="s">
        <v>32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</row>
    <row r="5" s="3" customFormat="true" ht="21" hidden="false" customHeight="true" outlineLevel="0" collapsed="false">
      <c r="A5" s="15" t="s">
        <v>9</v>
      </c>
      <c r="B5" s="16" t="s">
        <v>10</v>
      </c>
      <c r="C5" s="16" t="s">
        <v>11</v>
      </c>
      <c r="D5" s="17" t="s">
        <v>12</v>
      </c>
      <c r="E5" s="17" t="s">
        <v>13</v>
      </c>
      <c r="F5" s="16" t="s">
        <v>14</v>
      </c>
      <c r="G5" s="17" t="s">
        <v>15</v>
      </c>
      <c r="H5" s="17" t="s">
        <v>16</v>
      </c>
      <c r="I5" s="18" t="s">
        <v>17</v>
      </c>
      <c r="J5" s="18" t="s">
        <v>18</v>
      </c>
      <c r="K5" s="19" t="s">
        <v>19</v>
      </c>
      <c r="L5" s="19" t="s">
        <v>20</v>
      </c>
      <c r="M5" s="17" t="s">
        <v>21</v>
      </c>
      <c r="N5" s="16" t="s">
        <v>22</v>
      </c>
      <c r="O5" s="17" t="s">
        <v>23</v>
      </c>
      <c r="P5" s="20" t="s">
        <v>24</v>
      </c>
      <c r="R5" s="21" t="n">
        <f aca="false">R6</f>
        <v>46181.0</v>
      </c>
      <c r="S5" s="21"/>
      <c r="T5" s="21"/>
      <c r="U5" s="21"/>
      <c r="V5" s="21"/>
      <c r="W5" s="21"/>
      <c r="X5" s="21"/>
      <c r="Y5" s="21" t="n">
        <f aca="false">Y6</f>
        <v>46188.0</v>
      </c>
      <c r="Z5" s="21"/>
      <c r="AA5" s="21"/>
      <c r="AB5" s="21"/>
      <c r="AC5" s="21"/>
      <c r="AD5" s="21"/>
      <c r="AE5" s="21"/>
      <c r="AF5" s="21" t="n">
        <f aca="false">AF6</f>
        <v>46195.0</v>
      </c>
      <c r="AG5" s="21"/>
      <c r="AH5" s="21"/>
      <c r="AI5" s="21"/>
      <c r="AJ5" s="21"/>
      <c r="AK5" s="21"/>
      <c r="AL5" s="21"/>
      <c r="AM5" s="21" t="n">
        <f aca="false">AM6</f>
        <v>46202.0</v>
      </c>
      <c r="AN5" s="21"/>
      <c r="AO5" s="21"/>
      <c r="AP5" s="21"/>
      <c r="AQ5" s="21"/>
      <c r="AR5" s="21"/>
      <c r="AS5" s="21"/>
      <c r="AT5" s="21" t="n">
        <f aca="false">AT6</f>
        <v>46209.0</v>
      </c>
      <c r="AU5" s="21"/>
      <c r="AV5" s="21"/>
      <c r="AW5" s="21"/>
      <c r="AX5" s="21"/>
      <c r="AY5" s="21"/>
      <c r="AZ5" s="21"/>
      <c r="BA5" s="21" t="n">
        <f aca="false">BA6</f>
        <v>46216.0</v>
      </c>
      <c r="BB5" s="21"/>
      <c r="BC5" s="21"/>
      <c r="BD5" s="21"/>
      <c r="BE5" s="21"/>
      <c r="BF5" s="21"/>
      <c r="BG5" s="21"/>
      <c r="BH5" s="21" t="n">
        <f aca="false">BH6</f>
        <v>46223.0</v>
      </c>
      <c r="BI5" s="21"/>
      <c r="BJ5" s="21"/>
      <c r="BK5" s="21"/>
      <c r="BL5" s="21"/>
      <c r="BM5" s="21"/>
      <c r="BN5" s="21"/>
      <c r="BO5" s="21" t="n">
        <f aca="false">BO6</f>
        <v>46230.0</v>
      </c>
      <c r="BP5" s="21"/>
      <c r="BQ5" s="21"/>
      <c r="BR5" s="21"/>
      <c r="BS5" s="21"/>
      <c r="BT5" s="21"/>
      <c r="BU5" s="21"/>
    </row>
    <row r="6" s="3" customFormat="true" ht="15" hidden="false" customHeight="true" outlineLevel="0" collapsed="false">
      <c r="A6" s="15"/>
      <c r="B6" s="16"/>
      <c r="C6" s="16"/>
      <c r="D6" s="17"/>
      <c r="E6" s="17"/>
      <c r="F6" s="16"/>
      <c r="G6" s="17"/>
      <c r="H6" s="17"/>
      <c r="I6" s="18"/>
      <c r="J6" s="18"/>
      <c r="K6" s="19"/>
      <c r="L6" s="19"/>
      <c r="M6" s="17"/>
      <c r="N6" s="16"/>
      <c r="O6" s="17"/>
      <c r="P6" s="20"/>
      <c r="Q6" s="22"/>
      <c r="R6" s="23" t="n">
        <f aca="false">Project_Start-WEEKDAY(Project_Start,1)+2+7*(Display_Week-1)</f>
        <v>46181.0</v>
      </c>
      <c r="S6" s="23" t="n">
        <f aca="false">R6+1</f>
        <v>46182.0</v>
      </c>
      <c r="T6" s="23" t="n">
        <f aca="false">S6+1</f>
        <v>46183.0</v>
      </c>
      <c r="U6" s="23" t="n">
        <f aca="false">T6+1</f>
        <v>46184.0</v>
      </c>
      <c r="V6" s="23" t="n">
        <f aca="false">U6+1</f>
        <v>46185.0</v>
      </c>
      <c r="W6" s="23" t="n">
        <f aca="false">V6+1</f>
        <v>46186.0</v>
      </c>
      <c r="X6" s="23" t="n">
        <f aca="false">W6+1</f>
        <v>46187.0</v>
      </c>
      <c r="Y6" s="23" t="n">
        <f aca="false">X6+1</f>
        <v>46188.0</v>
      </c>
      <c r="Z6" s="23" t="n">
        <f aca="false">Y6+1</f>
        <v>46189.0</v>
      </c>
      <c r="AA6" s="23" t="n">
        <f aca="false">Z6+1</f>
        <v>46190.0</v>
      </c>
      <c r="AB6" s="23" t="n">
        <f aca="false">AA6+1</f>
        <v>46191.0</v>
      </c>
      <c r="AC6" s="23" t="n">
        <f aca="false">AB6+1</f>
        <v>46192.0</v>
      </c>
      <c r="AD6" s="23" t="n">
        <f aca="false">AC6+1</f>
        <v>46193.0</v>
      </c>
      <c r="AE6" s="23" t="n">
        <f aca="false">AD6+1</f>
        <v>46194.0</v>
      </c>
      <c r="AF6" s="23" t="n">
        <f aca="false">AE6+1</f>
        <v>46195.0</v>
      </c>
      <c r="AG6" s="23" t="n">
        <f aca="false">AF6+1</f>
        <v>46196.0</v>
      </c>
      <c r="AH6" s="23" t="n">
        <f aca="false">AG6+1</f>
        <v>46197.0</v>
      </c>
      <c r="AI6" s="23" t="n">
        <f aca="false">AH6+1</f>
        <v>46198.0</v>
      </c>
      <c r="AJ6" s="23" t="n">
        <f aca="false">AI6+1</f>
        <v>46199.0</v>
      </c>
      <c r="AK6" s="23" t="n">
        <f aca="false">AJ6+1</f>
        <v>46200.0</v>
      </c>
      <c r="AL6" s="23" t="n">
        <f aca="false">AK6+1</f>
        <v>46201.0</v>
      </c>
      <c r="AM6" s="23" t="n">
        <f aca="false">AL6+1</f>
        <v>46202.0</v>
      </c>
      <c r="AN6" s="23" t="n">
        <f aca="false">AM6+1</f>
        <v>46203.0</v>
      </c>
      <c r="AO6" s="23" t="n">
        <f aca="false">AN6+1</f>
        <v>46204.0</v>
      </c>
      <c r="AP6" s="23" t="n">
        <f aca="false">AO6+1</f>
        <v>46205.0</v>
      </c>
      <c r="AQ6" s="23" t="n">
        <f aca="false">AP6+1</f>
        <v>46206.0</v>
      </c>
      <c r="AR6" s="23" t="n">
        <f aca="false">AQ6+1</f>
        <v>46207.0</v>
      </c>
      <c r="AS6" s="23" t="n">
        <f aca="false">AR6+1</f>
        <v>46208.0</v>
      </c>
      <c r="AT6" s="23" t="n">
        <f aca="false">AS6+1</f>
        <v>46209.0</v>
      </c>
      <c r="AU6" s="23" t="n">
        <f aca="false">AT6+1</f>
        <v>46210.0</v>
      </c>
      <c r="AV6" s="23" t="n">
        <f aca="false">AU6+1</f>
        <v>46211.0</v>
      </c>
      <c r="AW6" s="23" t="n">
        <f aca="false">AV6+1</f>
        <v>46212.0</v>
      </c>
      <c r="AX6" s="23" t="n">
        <f aca="false">AW6+1</f>
        <v>46213.0</v>
      </c>
      <c r="AY6" s="23" t="n">
        <f aca="false">AX6+1</f>
        <v>46214.0</v>
      </c>
      <c r="AZ6" s="23" t="n">
        <f aca="false">AY6+1</f>
        <v>46215.0</v>
      </c>
      <c r="BA6" s="23" t="n">
        <f aca="false">AZ6+1</f>
        <v>46216.0</v>
      </c>
      <c r="BB6" s="23" t="n">
        <f aca="false">BA6+1</f>
        <v>46217.0</v>
      </c>
      <c r="BC6" s="23" t="n">
        <f aca="false">BB6+1</f>
        <v>46218.0</v>
      </c>
      <c r="BD6" s="23" t="n">
        <f aca="false">BC6+1</f>
        <v>46219.0</v>
      </c>
      <c r="BE6" s="23" t="n">
        <f aca="false">BD6+1</f>
        <v>46220.0</v>
      </c>
      <c r="BF6" s="23" t="n">
        <f aca="false">BE6+1</f>
        <v>46221.0</v>
      </c>
      <c r="BG6" s="23" t="n">
        <f aca="false">BF6+1</f>
        <v>46222.0</v>
      </c>
      <c r="BH6" s="23" t="n">
        <f aca="false">BG6+1</f>
        <v>46223.0</v>
      </c>
      <c r="BI6" s="23" t="n">
        <f aca="false">BH6+1</f>
        <v>46224.0</v>
      </c>
      <c r="BJ6" s="23" t="n">
        <f aca="false">BI6+1</f>
        <v>46225.0</v>
      </c>
      <c r="BK6" s="23" t="n">
        <f aca="false">BJ6+1</f>
        <v>46226.0</v>
      </c>
      <c r="BL6" s="23" t="n">
        <f aca="false">BK6+1</f>
        <v>46227.0</v>
      </c>
      <c r="BM6" s="23" t="n">
        <f aca="false">BL6+1</f>
        <v>46228.0</v>
      </c>
      <c r="BN6" s="23" t="n">
        <f aca="false">BM6+1</f>
        <v>46229.0</v>
      </c>
      <c r="BO6" s="23" t="n">
        <f aca="false">BN6+1</f>
        <v>46230.0</v>
      </c>
      <c r="BP6" s="23" t="n">
        <f aca="false">BO6+1</f>
        <v>46231.0</v>
      </c>
      <c r="BQ6" s="23" t="n">
        <f aca="false">BP6+1</f>
        <v>46232.0</v>
      </c>
      <c r="BR6" s="23" t="n">
        <f aca="false">BQ6+1</f>
        <v>46233.0</v>
      </c>
      <c r="BS6" s="23" t="n">
        <f aca="false">BR6+1</f>
        <v>46234.0</v>
      </c>
      <c r="BT6" s="23" t="n">
        <f aca="false">BS6+1</f>
        <v>46235.0</v>
      </c>
      <c r="BU6" s="23" t="n">
        <f aca="false">BT6+1</f>
        <v>46236.0</v>
      </c>
    </row>
    <row r="7" s="3" customFormat="true" ht="15.75" hidden="false" customHeight="false" outlineLevel="0" collapsed="false">
      <c r="A7" s="15"/>
      <c r="B7" s="16"/>
      <c r="C7" s="16"/>
      <c r="D7" s="17"/>
      <c r="E7" s="17"/>
      <c r="F7" s="16"/>
      <c r="G7" s="17"/>
      <c r="H7" s="17"/>
      <c r="I7" s="18"/>
      <c r="J7" s="18"/>
      <c r="K7" s="19"/>
      <c r="L7" s="19"/>
      <c r="M7" s="17"/>
      <c r="N7" s="16"/>
      <c r="O7" s="17"/>
      <c r="P7" s="20"/>
      <c r="Q7" s="22"/>
      <c r="R7" s="24" t="str">
        <f aca="false">LEFT(TEXT(R6,"ddd"),1)</f>
        <v>M</v>
      </c>
      <c r="S7" s="24" t="str">
        <f aca="false">LEFT(TEXT(S6,"ddd"),1)</f>
        <v>T</v>
      </c>
      <c r="T7" s="24" t="str">
        <f aca="false">LEFT(TEXT(T6,"ddd"),1)</f>
        <v>W</v>
      </c>
      <c r="U7" s="24" t="str">
        <f aca="false">LEFT(TEXT(U6,"ddd"),1)</f>
        <v>T</v>
      </c>
      <c r="V7" s="24" t="str">
        <f aca="false">LEFT(TEXT(V6,"ddd"),1)</f>
        <v>F</v>
      </c>
      <c r="W7" s="24" t="str">
        <f aca="false">LEFT(TEXT(W6,"ddd"),1)</f>
        <v>S</v>
      </c>
      <c r="X7" s="24" t="str">
        <f aca="false">LEFT(TEXT(X6,"ddd"),1)</f>
        <v>S</v>
      </c>
      <c r="Y7" s="24" t="str">
        <f aca="false">LEFT(TEXT(Y6,"ddd"),1)</f>
        <v>M</v>
      </c>
      <c r="Z7" s="24" t="str">
        <f aca="false">LEFT(TEXT(Z6,"ddd"),1)</f>
        <v>T</v>
      </c>
      <c r="AA7" s="24" t="str">
        <f aca="false">LEFT(TEXT(AA6,"ddd"),1)</f>
        <v>W</v>
      </c>
      <c r="AB7" s="24" t="str">
        <f aca="false">LEFT(TEXT(AB6,"ddd"),1)</f>
        <v>T</v>
      </c>
      <c r="AC7" s="24" t="str">
        <f aca="false">LEFT(TEXT(AC6,"ddd"),1)</f>
        <v>F</v>
      </c>
      <c r="AD7" s="24" t="str">
        <f aca="false">LEFT(TEXT(AD6,"ddd"),1)</f>
        <v>S</v>
      </c>
      <c r="AE7" s="24" t="str">
        <f aca="false">LEFT(TEXT(AE6,"ddd"),1)</f>
        <v>S</v>
      </c>
      <c r="AF7" s="24" t="str">
        <f aca="false">LEFT(TEXT(AF6,"ddd"),1)</f>
        <v>M</v>
      </c>
      <c r="AG7" s="24" t="str">
        <f aca="false">LEFT(TEXT(AG6,"ddd"),1)</f>
        <v>T</v>
      </c>
      <c r="AH7" s="24" t="str">
        <f aca="false">LEFT(TEXT(AH6,"ddd"),1)</f>
        <v>W</v>
      </c>
      <c r="AI7" s="24" t="str">
        <f aca="false">LEFT(TEXT(AI6,"ddd"),1)</f>
        <v>T</v>
      </c>
      <c r="AJ7" s="24" t="str">
        <f aca="false">LEFT(TEXT(AJ6,"ddd"),1)</f>
        <v>F</v>
      </c>
      <c r="AK7" s="24" t="str">
        <f aca="false">LEFT(TEXT(AK6,"ddd"),1)</f>
        <v>S</v>
      </c>
      <c r="AL7" s="24" t="str">
        <f aca="false">LEFT(TEXT(AL6,"ddd"),1)</f>
        <v>S</v>
      </c>
      <c r="AM7" s="24" t="str">
        <f aca="false">LEFT(TEXT(AM6,"ddd"),1)</f>
        <v>M</v>
      </c>
      <c r="AN7" s="24" t="str">
        <f aca="false">LEFT(TEXT(AN6,"ddd"),1)</f>
        <v>T</v>
      </c>
      <c r="AO7" s="24" t="str">
        <f aca="false">LEFT(TEXT(AO6,"ddd"),1)</f>
        <v>W</v>
      </c>
      <c r="AP7" s="24" t="str">
        <f aca="false">LEFT(TEXT(AP6,"ddd"),1)</f>
        <v>T</v>
      </c>
      <c r="AQ7" s="24" t="str">
        <f aca="false">LEFT(TEXT(AQ6,"ddd"),1)</f>
        <v>F</v>
      </c>
      <c r="AR7" s="24" t="str">
        <f aca="false">LEFT(TEXT(AR6,"ddd"),1)</f>
        <v>S</v>
      </c>
      <c r="AS7" s="24" t="str">
        <f aca="false">LEFT(TEXT(AS6,"ddd"),1)</f>
        <v>S</v>
      </c>
      <c r="AT7" s="24" t="str">
        <f aca="false">LEFT(TEXT(AT6,"ddd"),1)</f>
        <v>M</v>
      </c>
      <c r="AU7" s="24" t="str">
        <f aca="false">LEFT(TEXT(AU6,"ddd"),1)</f>
        <v>T</v>
      </c>
      <c r="AV7" s="24" t="str">
        <f aca="false">LEFT(TEXT(AV6,"ddd"),1)</f>
        <v>W</v>
      </c>
      <c r="AW7" s="24" t="str">
        <f aca="false">LEFT(TEXT(AW6,"ddd"),1)</f>
        <v>T</v>
      </c>
      <c r="AX7" s="24" t="str">
        <f aca="false">LEFT(TEXT(AX6,"ddd"),1)</f>
        <v>F</v>
      </c>
      <c r="AY7" s="24" t="str">
        <f aca="false">LEFT(TEXT(AY6,"ddd"),1)</f>
        <v>S</v>
      </c>
      <c r="AZ7" s="24" t="str">
        <f aca="false">LEFT(TEXT(AZ6,"ddd"),1)</f>
        <v>S</v>
      </c>
      <c r="BA7" s="24" t="str">
        <f aca="false">LEFT(TEXT(BA6,"ddd"),1)</f>
        <v>M</v>
      </c>
      <c r="BB7" s="24" t="str">
        <f aca="false">LEFT(TEXT(BB6,"ddd"),1)</f>
        <v>T</v>
      </c>
      <c r="BC7" s="24" t="str">
        <f aca="false">LEFT(TEXT(BC6,"ddd"),1)</f>
        <v>W</v>
      </c>
      <c r="BD7" s="24" t="str">
        <f aca="false">LEFT(TEXT(BD6,"ddd"),1)</f>
        <v>T</v>
      </c>
      <c r="BE7" s="24" t="str">
        <f aca="false">LEFT(TEXT(BE6,"ddd"),1)</f>
        <v>F</v>
      </c>
      <c r="BF7" s="24" t="str">
        <f aca="false">LEFT(TEXT(BF6,"ddd"),1)</f>
        <v>S</v>
      </c>
      <c r="BG7" s="24" t="str">
        <f aca="false">LEFT(TEXT(BG6,"ddd"),1)</f>
        <v>S</v>
      </c>
      <c r="BH7" s="24" t="str">
        <f aca="false">LEFT(TEXT(BH6,"ddd"),1)</f>
        <v>M</v>
      </c>
      <c r="BI7" s="24" t="str">
        <f aca="false">LEFT(TEXT(BI6,"ddd"),1)</f>
        <v>T</v>
      </c>
      <c r="BJ7" s="24" t="str">
        <f aca="false">LEFT(TEXT(BJ6,"ddd"),1)</f>
        <v>W</v>
      </c>
      <c r="BK7" s="24" t="str">
        <f aca="false">LEFT(TEXT(BK6,"ddd"),1)</f>
        <v>T</v>
      </c>
      <c r="BL7" s="24" t="str">
        <f aca="false">LEFT(TEXT(BL6,"ddd"),1)</f>
        <v>F</v>
      </c>
      <c r="BM7" s="24" t="str">
        <f aca="false">LEFT(TEXT(BM6,"ddd"),1)</f>
        <v>S</v>
      </c>
      <c r="BN7" s="24" t="str">
        <f aca="false">LEFT(TEXT(BN6,"ddd"),1)</f>
        <v>S</v>
      </c>
      <c r="BO7" s="24" t="str">
        <f aca="false">LEFT(TEXT(BO6,"ddd"),1)</f>
        <v>M</v>
      </c>
      <c r="BP7" s="24" t="str">
        <f aca="false">LEFT(TEXT(BP6,"ddd"),1)</f>
        <v>T</v>
      </c>
      <c r="BQ7" s="24" t="str">
        <f aca="false">LEFT(TEXT(BQ6,"ddd"),1)</f>
        <v>W</v>
      </c>
      <c r="BR7" s="24" t="str">
        <f aca="false">LEFT(TEXT(BR6,"ddd"),1)</f>
        <v>T</v>
      </c>
      <c r="BS7" s="24" t="str">
        <f aca="false">LEFT(TEXT(BS6,"ddd"),1)</f>
        <v>F</v>
      </c>
      <c r="BT7" s="24" t="str">
        <f aca="false">LEFT(TEXT(BT6,"ddd"),1)</f>
        <v>S</v>
      </c>
      <c r="BU7" s="24" t="str">
        <f aca="false">LEFT(TEXT(BU6,"ddd"),1)</f>
        <v>S</v>
      </c>
    </row>
    <row r="8" customFormat="false" hidden="false" outlineLevel="0" collapsed="false">
      <c r="A8" s="25" t="n">
        <v>1.0</v>
      </c>
      <c r="B8" s="26" t="s">
        <v>33</v>
      </c>
      <c r="C8" s="27" t="s">
        <v>34</v>
      </c>
      <c r="D8" s="28" t="s">
        <v>35</v>
      </c>
      <c r="E8" s="28" t="s">
        <v>36</v>
      </c>
      <c r="F8" s="29" t="s">
        <v>37</v>
      </c>
      <c r="G8" s="25" t="s">
        <v>38</v>
      </c>
      <c r="H8" s="30" t="n">
        <v>0.2</v>
      </c>
      <c r="I8" s="31" t="n">
        <v>46184.0</v>
      </c>
      <c r="J8" s="31" t="n">
        <f aca="false">WORKDAY(I8,ROUND(H8*5,0)-1)</f>
        <v>46184.0</v>
      </c>
      <c r="K8" s="31" t="n">
        <v>46184.0</v>
      </c>
      <c r="L8" s="31" t="n">
        <v>46184.0</v>
      </c>
      <c r="M8" s="32" t="n">
        <f aca="false">IF(OR(ISBLANK(K8),ISBLANK(L8)),"",NETWORKDAYS(K8,L8)/5)</f>
        <v>0.2</v>
      </c>
      <c r="N8" s="33" t="n">
        <v>1.0</v>
      </c>
      <c r="O8" s="25" t="str">
        <f aca="false">IF($N8&gt;=1,"Completed",
 IF($N8=0,"Not Started",
 "In Progress"))</f>
        <v>Completed</v>
      </c>
      <c r="P8" s="25" t="str">
        <f aca="true">IF($N8&gt;=1,
    IF($M8&gt;$K8,"Delayed","On Track"),
 IF(TODAY()&lt;$J8,
    "On Track",
 IF(AND($N8=0,TODAY()&gt;$K8),
    "Delayed",
 IF(AND($L8&lt;&gt;"",$L8&gt;$J8),
    "At Risk",
 IF(TODAY()&gt;$K8,
    "Delayed",
 "On Track")))))</f>
        <v>On Track</v>
      </c>
      <c r="Q8" s="37" t="s">
        <v>38</v>
      </c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X8" s="36"/>
      <c r="BY8" s="36"/>
      <c r="BZ8" s="36"/>
      <c r="CA8" s="36"/>
      <c r="CB8" s="36"/>
      <c r="CC8" s="36"/>
      <c r="CD8" s="36"/>
    </row>
    <row r="9">
      <c r="A9" s="25" t="n">
        <v>2.0</v>
      </c>
      <c r="B9" s="26" t="s">
        <v>33</v>
      </c>
      <c r="C9" s="27" t="s">
        <v>34</v>
      </c>
      <c r="D9" s="28" t="s">
        <v>35</v>
      </c>
      <c r="E9" s="28" t="s">
        <v>36</v>
      </c>
      <c r="F9" s="29" t="s">
        <v>39</v>
      </c>
      <c r="G9" s="25" t="s">
        <v>38</v>
      </c>
      <c r="H9" s="30" t="n">
        <v>0.3</v>
      </c>
      <c r="I9" s="31" t="n">
        <v>46185.0</v>
      </c>
      <c r="J9" s="31" t="n">
        <f>WORKDAY(I9,ROUND(H9*5,0)-1)</f>
        <v>46188.0</v>
      </c>
      <c r="K9" s="31" t="n">
        <v>46185.0</v>
      </c>
      <c r="L9" s="31" t="n">
        <v>46185.0</v>
      </c>
      <c r="M9" s="32" t="n">
        <f>IF(OR(ISBLANK(K9),ISBLANK(L9)),"",NETWORKDAYS(K9,L9)/5)</f>
        <v>0.2</v>
      </c>
      <c r="N9" s="33" t="n">
        <v>1.0</v>
      </c>
      <c r="O9" s="25" t="str">
        <f>IF($N9&gt;=1,"Completed",
 IF($N9=0,"Not Started",
 "In Progress"))</f>
        <v>Completed</v>
      </c>
      <c r="P9" s="25" t="str">
        <f>IF($N9&gt;=1,
    IF($M9&gt;$K9,"Delayed","On Track"),
 IF(TODAY()&lt;$J9,
    "On Track",
 IF(AND($N9=0,TODAY()&gt;$K9),
    "Delayed",
 IF(AND($L9&lt;&gt;"",$L9&gt;$J9),
    "At Risk",
 IF(TODAY()&gt;$K9,
    "Delayed",
 "On Track")))))</f>
        <v>On Track</v>
      </c>
      <c r="Q9" s="38" t="s">
        <v>38</v>
      </c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X9" s="36"/>
      <c r="BY9" s="36"/>
      <c r="BZ9" s="36"/>
      <c r="CA9" s="36"/>
      <c r="CB9" s="36"/>
      <c r="CC9" s="36"/>
      <c r="CD9" s="36"/>
    </row>
    <row r="10">
      <c r="A10" s="25" t="n">
        <v>3.0</v>
      </c>
      <c r="B10" s="26" t="s">
        <v>33</v>
      </c>
      <c r="C10" s="27" t="s">
        <v>34</v>
      </c>
      <c r="D10" s="28" t="s">
        <v>35</v>
      </c>
      <c r="E10" s="28" t="s">
        <v>36</v>
      </c>
      <c r="F10" s="29" t="s">
        <v>40</v>
      </c>
      <c r="G10" s="25" t="s">
        <v>38</v>
      </c>
      <c r="H10" s="30" t="n">
        <v>0.2</v>
      </c>
      <c r="I10" s="31" t="n">
        <v>46188.0</v>
      </c>
      <c r="J10" s="31" t="n">
        <f>WORKDAY(I10,ROUND(H10*5,0)-1)</f>
        <v>46188.0</v>
      </c>
      <c r="K10" s="31"/>
      <c r="L10" s="31"/>
      <c r="M10" s="32" t="str">
        <f>IF(OR(ISBLANK(K10),ISBLANK(L10)),"",NETWORKDAYS(K10,L10)/5)</f>
        <v/>
      </c>
      <c r="N10" s="33"/>
      <c r="O10" s="25" t="str">
        <f>IF($N10&gt;=1,"Completed",
 IF($N10=0,"Not Started",
 "In Progress"))</f>
        <v>Not Started</v>
      </c>
      <c r="P10" s="25" t="str">
        <f>IF($N10&gt;=1,
    IF($M10&gt;$K10,"Delayed","On Track"),
 IF(TODAY()&lt;$J10,
    "On Track",
 IF(AND($N10=0,TODAY()&gt;$K10),
    "Delayed",
 IF(AND($L10&lt;&gt;"",$L10&gt;$J10),
    "At Risk",
 IF(TODAY()&gt;$K10,
    "Delayed",
 "On Track")))))</f>
        <v>Delayed</v>
      </c>
      <c r="Q10" s="39" t="s">
        <v>38</v>
      </c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X10" s="36"/>
      <c r="BY10" s="36"/>
      <c r="BZ10" s="36"/>
      <c r="CA10" s="36"/>
      <c r="CB10" s="36"/>
      <c r="CC10" s="36"/>
      <c r="CD10" s="36"/>
    </row>
    <row r="11">
      <c r="A11" s="25" t="n">
        <v>4.0</v>
      </c>
      <c r="B11" s="26" t="s">
        <v>33</v>
      </c>
      <c r="C11" s="27" t="s">
        <v>34</v>
      </c>
      <c r="D11" s="28" t="s">
        <v>41</v>
      </c>
      <c r="E11" s="28" t="s">
        <v>42</v>
      </c>
      <c r="F11" s="29" t="s">
        <v>43</v>
      </c>
      <c r="G11" s="25" t="s">
        <v>38</v>
      </c>
      <c r="H11" s="30" t="n">
        <v>0.3</v>
      </c>
      <c r="I11" s="31" t="n">
        <v>46188.0</v>
      </c>
      <c r="J11" s="31" t="n">
        <f>WORKDAY(I11,ROUND(H11*5,0)-1)</f>
        <v>46189.0</v>
      </c>
      <c r="K11" s="31"/>
      <c r="L11" s="31"/>
      <c r="M11" s="32" t="str">
        <f>IF(OR(ISBLANK(K11),ISBLANK(L11)),"",NETWORKDAYS(K11,L11)/5)</f>
        <v/>
      </c>
      <c r="N11" s="33"/>
      <c r="O11" s="25" t="str">
        <f>IF($N11&gt;=1,"Completed",
 IF($N11=0,"Not Started",
 "In Progress"))</f>
        <v>Not Started</v>
      </c>
      <c r="P11" s="25" t="str">
        <f>IF($N11&gt;=1,
    IF($M11&gt;$K11,"Delayed","On Track"),
 IF(TODAY()&lt;$J11,
    "On Track",
 IF(AND($N11=0,TODAY()&gt;$K11),
    "Delayed",
 IF(AND($L11&lt;&gt;"",$L11&gt;$J11),
    "At Risk",
 IF(TODAY()&gt;$K11,
    "Delayed",
 "On Track")))))</f>
        <v>Delayed</v>
      </c>
      <c r="Q11" s="40" t="s">
        <v>38</v>
      </c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X11" s="36"/>
      <c r="BY11" s="36"/>
      <c r="BZ11" s="36"/>
      <c r="CA11" s="36"/>
      <c r="CB11" s="36"/>
      <c r="CC11" s="36"/>
      <c r="CD11" s="36"/>
    </row>
    <row r="12">
      <c r="A12" s="25" t="n">
        <v>5.0</v>
      </c>
      <c r="B12" s="26" t="s">
        <v>33</v>
      </c>
      <c r="C12" s="27" t="s">
        <v>34</v>
      </c>
      <c r="D12" s="28" t="s">
        <v>41</v>
      </c>
      <c r="E12" s="28" t="s">
        <v>42</v>
      </c>
      <c r="F12" s="29" t="s">
        <v>44</v>
      </c>
      <c r="G12" s="25" t="s">
        <v>38</v>
      </c>
      <c r="H12" s="30" t="n">
        <v>0.2</v>
      </c>
      <c r="I12" s="31" t="n">
        <v>46190.0</v>
      </c>
      <c r="J12" s="31" t="n">
        <f>WORKDAY(I12,ROUND(H12*5,0)-1)</f>
        <v>46190.0</v>
      </c>
      <c r="K12" s="31"/>
      <c r="L12" s="31"/>
      <c r="M12" s="32" t="str">
        <f>IF(OR(ISBLANK(K12),ISBLANK(L12)),"",NETWORKDAYS(K12,L12)/5)</f>
        <v/>
      </c>
      <c r="N12" s="33"/>
      <c r="O12" s="25" t="str">
        <f>IF($N12&gt;=1,"Completed",
 IF($N12=0,"Not Started",
 "In Progress"))</f>
        <v>Not Started</v>
      </c>
      <c r="P12" s="25" t="str">
        <f>IF($N12&gt;=1,
    IF($M12&gt;$K12,"Delayed","On Track"),
 IF(TODAY()&lt;$J12,
    "On Track",
 IF(AND($N12=0,TODAY()&gt;$K12),
    "Delayed",
 IF(AND($L12&lt;&gt;"",$L12&gt;$J12),
    "At Risk",
 IF(TODAY()&gt;$K12,
    "Delayed",
 "On Track")))))</f>
        <v>Delayed</v>
      </c>
      <c r="Q12" s="41" t="s">
        <v>38</v>
      </c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X12" s="36"/>
      <c r="BY12" s="36"/>
      <c r="BZ12" s="36"/>
      <c r="CA12" s="36"/>
      <c r="CB12" s="36"/>
      <c r="CC12" s="36"/>
      <c r="CD12" s="36"/>
    </row>
    <row r="13">
      <c r="A13" s="25" t="n">
        <v>6.0</v>
      </c>
      <c r="B13" s="26" t="s">
        <v>33</v>
      </c>
      <c r="C13" s="27" t="s">
        <v>34</v>
      </c>
      <c r="D13" s="28" t="s">
        <v>41</v>
      </c>
      <c r="E13" s="28" t="s">
        <v>42</v>
      </c>
      <c r="F13" s="29" t="s">
        <v>45</v>
      </c>
      <c r="G13" s="25" t="s">
        <v>38</v>
      </c>
      <c r="H13" s="30" t="n">
        <v>0.2</v>
      </c>
      <c r="I13" s="31" t="n">
        <v>46190.0</v>
      </c>
      <c r="J13" s="31" t="n">
        <f>WORKDAY(I13,ROUND(H13*5,0)-1)</f>
        <v>46190.0</v>
      </c>
      <c r="K13" s="31"/>
      <c r="L13" s="31"/>
      <c r="M13" s="32" t="str">
        <f>IF(OR(ISBLANK(K13),ISBLANK(L13)),"",NETWORKDAYS(K13,L13)/5)</f>
        <v/>
      </c>
      <c r="N13" s="33"/>
      <c r="O13" s="25" t="str">
        <f>IF($N13&gt;=1,"Completed",
 IF($N13=0,"Not Started",
 "In Progress"))</f>
        <v>Not Started</v>
      </c>
      <c r="P13" s="25" t="str">
        <f>IF($N13&gt;=1,
    IF($M13&gt;$K13,"Delayed","On Track"),
 IF(TODAY()&lt;$J13,
    "On Track",
 IF(AND($N13=0,TODAY()&gt;$K13),
    "Delayed",
 IF(AND($L13&lt;&gt;"",$L13&gt;$J13),
    "At Risk",
 IF(TODAY()&gt;$K13,
    "Delayed",
 "On Track")))))</f>
        <v>Delayed</v>
      </c>
      <c r="Q13" s="42" t="s">
        <v>38</v>
      </c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X13" s="36"/>
      <c r="BY13" s="36"/>
      <c r="BZ13" s="36"/>
      <c r="CA13" s="36"/>
      <c r="CB13" s="36"/>
      <c r="CC13" s="36"/>
      <c r="CD13" s="36"/>
    </row>
    <row r="14">
      <c r="A14" s="25" t="n">
        <v>7.0</v>
      </c>
      <c r="B14" s="26" t="s">
        <v>33</v>
      </c>
      <c r="C14" s="27" t="s">
        <v>34</v>
      </c>
      <c r="D14" s="28" t="s">
        <v>46</v>
      </c>
      <c r="E14" s="28" t="s">
        <v>47</v>
      </c>
      <c r="F14" s="29" t="s">
        <v>48</v>
      </c>
      <c r="G14" s="25" t="s">
        <v>38</v>
      </c>
      <c r="H14" s="30" t="n">
        <v>0.4</v>
      </c>
      <c r="I14" s="31" t="n">
        <v>46191.0</v>
      </c>
      <c r="J14" s="31" t="n">
        <f>WORKDAY(I14,ROUND(H14*5,0)-1)</f>
        <v>46192.0</v>
      </c>
      <c r="K14" s="31"/>
      <c r="L14" s="31"/>
      <c r="M14" s="32" t="str">
        <f>IF(OR(ISBLANK(K14),ISBLANK(L14)),"",NETWORKDAYS(K14,L14)/5)</f>
        <v/>
      </c>
      <c r="N14" s="33"/>
      <c r="O14" s="25" t="str">
        <f>IF($N14&gt;=1,"Completed",
 IF($N14=0,"Not Started",
 "In Progress"))</f>
        <v>Not Started</v>
      </c>
      <c r="P14" s="25" t="str">
        <f>IF($N14&gt;=1,
    IF($M14&gt;$K14,"Delayed","On Track"),
 IF(TODAY()&lt;$J14,
    "On Track",
 IF(AND($N14=0,TODAY()&gt;$K14),
    "Delayed",
 IF(AND($L14&lt;&gt;"",$L14&gt;$J14),
    "At Risk",
 IF(TODAY()&gt;$K14,
    "Delayed",
 "On Track")))))</f>
        <v>Delayed</v>
      </c>
      <c r="Q14" s="43" t="s">
        <v>38</v>
      </c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X14" s="36"/>
      <c r="BY14" s="36"/>
      <c r="BZ14" s="36"/>
      <c r="CA14" s="36"/>
      <c r="CB14" s="36"/>
      <c r="CC14" s="36"/>
      <c r="CD14" s="36"/>
    </row>
    <row r="15">
      <c r="A15" s="25" t="n">
        <v>8.0</v>
      </c>
      <c r="B15" s="26" t="s">
        <v>33</v>
      </c>
      <c r="C15" s="27" t="s">
        <v>34</v>
      </c>
      <c r="D15" s="28" t="s">
        <v>46</v>
      </c>
      <c r="E15" s="28" t="s">
        <v>47</v>
      </c>
      <c r="F15" s="29" t="s">
        <v>49</v>
      </c>
      <c r="G15" s="25" t="s">
        <v>38</v>
      </c>
      <c r="H15" s="30" t="n">
        <v>0.3</v>
      </c>
      <c r="I15" s="31" t="n">
        <v>46191.0</v>
      </c>
      <c r="J15" s="31" t="n">
        <f>WORKDAY(I15,ROUND(H15*5,0)-1)</f>
        <v>46192.0</v>
      </c>
      <c r="K15" s="31"/>
      <c r="L15" s="31"/>
      <c r="M15" s="32" t="str">
        <f>IF(OR(ISBLANK(K15),ISBLANK(L15)),"",NETWORKDAYS(K15,L15)/5)</f>
        <v/>
      </c>
      <c r="N15" s="33"/>
      <c r="O15" s="25" t="str">
        <f>IF($N15&gt;=1,"Completed",
 IF($N15=0,"Not Started",
 "In Progress"))</f>
        <v>Not Started</v>
      </c>
      <c r="P15" s="25" t="str">
        <f>IF($N15&gt;=1,
    IF($M15&gt;$K15,"Delayed","On Track"),
 IF(TODAY()&lt;$J15,
    "On Track",
 IF(AND($N15=0,TODAY()&gt;$K15),
    "Delayed",
 IF(AND($L15&lt;&gt;"",$L15&gt;$J15),
    "At Risk",
 IF(TODAY()&gt;$K15,
    "Delayed",
 "On Track")))))</f>
        <v>Delayed</v>
      </c>
      <c r="Q15" s="44" t="s">
        <v>38</v>
      </c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X15" s="36"/>
      <c r="BY15" s="36"/>
      <c r="BZ15" s="36"/>
      <c r="CA15" s="36"/>
      <c r="CB15" s="36"/>
      <c r="CC15" s="36"/>
      <c r="CD15" s="36"/>
    </row>
    <row r="16">
      <c r="A16" s="25" t="n">
        <v>9.0</v>
      </c>
      <c r="B16" s="26" t="s">
        <v>33</v>
      </c>
      <c r="C16" s="27" t="s">
        <v>34</v>
      </c>
      <c r="D16" s="28" t="s">
        <v>46</v>
      </c>
      <c r="E16" s="28" t="s">
        <v>47</v>
      </c>
      <c r="F16" s="29" t="s">
        <v>50</v>
      </c>
      <c r="G16" s="25" t="s">
        <v>38</v>
      </c>
      <c r="H16" s="30" t="n">
        <v>0.3</v>
      </c>
      <c r="I16" s="31" t="n">
        <v>46192.0</v>
      </c>
      <c r="J16" s="31" t="n">
        <f>WORKDAY(I16,ROUND(H16*5,0)-1)</f>
        <v>46195.0</v>
      </c>
      <c r="K16" s="31"/>
      <c r="L16" s="31"/>
      <c r="M16" s="32" t="str">
        <f>IF(OR(ISBLANK(K16),ISBLANK(L16)),"",NETWORKDAYS(K16,L16)/5)</f>
        <v/>
      </c>
      <c r="N16" s="33"/>
      <c r="O16" s="25" t="str">
        <f>IF($N16&gt;=1,"Completed",
 IF($N16=0,"Not Started",
 "In Progress"))</f>
        <v>Not Started</v>
      </c>
      <c r="P16" s="25" t="str">
        <f>IF($N16&gt;=1,
    IF($M16&gt;$K16,"Delayed","On Track"),
 IF(TODAY()&lt;$J16,
    "On Track",
 IF(AND($N16=0,TODAY()&gt;$K16),
    "Delayed",
 IF(AND($L16&lt;&gt;"",$L16&gt;$J16),
    "At Risk",
 IF(TODAY()&gt;$K16,
    "Delayed",
 "On Track")))))</f>
        <v>Delayed</v>
      </c>
      <c r="Q16" s="45" t="s">
        <v>38</v>
      </c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X16" s="36"/>
      <c r="BY16" s="36"/>
      <c r="BZ16" s="36"/>
      <c r="CA16" s="36"/>
      <c r="CB16" s="36"/>
      <c r="CC16" s="36"/>
      <c r="CD16" s="36"/>
    </row>
    <row r="17">
      <c r="A17" s="25" t="n">
        <v>10.0</v>
      </c>
      <c r="B17" s="26" t="s">
        <v>33</v>
      </c>
      <c r="C17" s="27" t="s">
        <v>34</v>
      </c>
      <c r="D17" s="28" t="s">
        <v>51</v>
      </c>
      <c r="E17" s="28" t="s">
        <v>52</v>
      </c>
      <c r="F17" s="29" t="s">
        <v>53</v>
      </c>
      <c r="G17" s="25" t="s">
        <v>38</v>
      </c>
      <c r="H17" s="30" t="n">
        <v>0.2</v>
      </c>
      <c r="I17" s="31" t="n">
        <v>46193.0</v>
      </c>
      <c r="J17" s="31" t="n">
        <f>WORKDAY(I17,ROUND(H17*5,0)-1)</f>
        <v>46193.0</v>
      </c>
      <c r="K17" s="31"/>
      <c r="L17" s="31"/>
      <c r="M17" s="32" t="str">
        <f>IF(OR(ISBLANK(K17),ISBLANK(L17)),"",NETWORKDAYS(K17,L17)/5)</f>
        <v/>
      </c>
      <c r="N17" s="33"/>
      <c r="O17" s="25" t="str">
        <f>IF($N17&gt;=1,"Completed",
 IF($N17=0,"Not Started",
 "In Progress"))</f>
        <v>Not Started</v>
      </c>
      <c r="P17" s="25" t="str">
        <f>IF($N17&gt;=1,
    IF($M17&gt;$K17,"Delayed","On Track"),
 IF(TODAY()&lt;$J17,
    "On Track",
 IF(AND($N17=0,TODAY()&gt;$K17),
    "Delayed",
 IF(AND($L17&lt;&gt;"",$L17&gt;$J17),
    "At Risk",
 IF(TODAY()&gt;$K17,
    "Delayed",
 "On Track")))))</f>
        <v>Delayed</v>
      </c>
      <c r="Q17" s="46" t="s">
        <v>38</v>
      </c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X17" s="36"/>
      <c r="BY17" s="36"/>
      <c r="BZ17" s="36"/>
      <c r="CA17" s="36"/>
      <c r="CB17" s="36"/>
      <c r="CC17" s="36"/>
      <c r="CD17" s="36"/>
    </row>
    <row r="18">
      <c r="A18" s="25" t="n">
        <v>11.0</v>
      </c>
      <c r="B18" s="26" t="s">
        <v>33</v>
      </c>
      <c r="C18" s="27" t="s">
        <v>34</v>
      </c>
      <c r="D18" s="28" t="s">
        <v>51</v>
      </c>
      <c r="E18" s="28" t="s">
        <v>52</v>
      </c>
      <c r="F18" s="29" t="s">
        <v>54</v>
      </c>
      <c r="G18" s="25" t="s">
        <v>38</v>
      </c>
      <c r="H18" s="30" t="n">
        <v>1.0</v>
      </c>
      <c r="I18" s="31" t="n">
        <v>46193.0</v>
      </c>
      <c r="J18" s="31" t="n">
        <f>WORKDAY(I18,ROUND(H18*5,0)-1)</f>
        <v>46198.0</v>
      </c>
      <c r="K18" s="31"/>
      <c r="L18" s="31"/>
      <c r="M18" s="32" t="str">
        <f>IF(OR(ISBLANK(K18),ISBLANK(L18)),"",NETWORKDAYS(K18,L18)/5)</f>
        <v/>
      </c>
      <c r="N18" s="33"/>
      <c r="O18" s="25" t="str">
        <f>IF($N18&gt;=1,"Completed",
 IF($N18=0,"Not Started",
 "In Progress"))</f>
        <v>Not Started</v>
      </c>
      <c r="P18" s="25" t="str">
        <f>IF($N18&gt;=1,
    IF($M18&gt;$K18,"Delayed","On Track"),
 IF(TODAY()&lt;$J18,
    "On Track",
 IF(AND($N18=0,TODAY()&gt;$K18),
    "Delayed",
 IF(AND($L18&lt;&gt;"",$L18&gt;$J18),
    "At Risk",
 IF(TODAY()&gt;$K18,
    "Delayed",
 "On Track")))))</f>
        <v>Delayed</v>
      </c>
      <c r="Q18" s="47" t="s">
        <v>38</v>
      </c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X18" s="36"/>
      <c r="BY18" s="36"/>
      <c r="BZ18" s="36"/>
      <c r="CA18" s="36"/>
      <c r="CB18" s="36"/>
      <c r="CC18" s="36"/>
      <c r="CD18" s="36"/>
    </row>
    <row r="19">
      <c r="A19" s="25" t="n">
        <v>12.0</v>
      </c>
      <c r="B19" s="26" t="s">
        <v>33</v>
      </c>
      <c r="C19" s="27" t="s">
        <v>34</v>
      </c>
      <c r="D19" s="28" t="s">
        <v>51</v>
      </c>
      <c r="E19" s="28" t="s">
        <v>52</v>
      </c>
      <c r="F19" s="29" t="s">
        <v>55</v>
      </c>
      <c r="G19" s="25" t="s">
        <v>38</v>
      </c>
      <c r="H19" s="30" t="n">
        <v>0.2</v>
      </c>
      <c r="I19" s="31" t="n">
        <v>46193.0</v>
      </c>
      <c r="J19" s="31" t="n">
        <f>WORKDAY(I19,ROUND(H19*5,0)-1)</f>
        <v>46193.0</v>
      </c>
      <c r="K19" s="31"/>
      <c r="L19" s="31"/>
      <c r="M19" s="32" t="str">
        <f>IF(OR(ISBLANK(K19),ISBLANK(L19)),"",NETWORKDAYS(K19,L19)/5)</f>
        <v/>
      </c>
      <c r="N19" s="33"/>
      <c r="O19" s="25" t="str">
        <f>IF($N19&gt;=1,"Completed",
 IF($N19=0,"Not Started",
 "In Progress"))</f>
        <v>Not Started</v>
      </c>
      <c r="P19" s="25" t="str">
        <f>IF($N19&gt;=1,
    IF($M19&gt;$K19,"Delayed","On Track"),
 IF(TODAY()&lt;$J19,
    "On Track",
 IF(AND($N19=0,TODAY()&gt;$K19),
    "Delayed",
 IF(AND($L19&lt;&gt;"",$L19&gt;$J19),
    "At Risk",
 IF(TODAY()&gt;$K19,
    "Delayed",
 "On Track")))))</f>
        <v>Delayed</v>
      </c>
      <c r="Q19" s="48" t="s">
        <v>38</v>
      </c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X19" s="36"/>
      <c r="BY19" s="36"/>
      <c r="BZ19" s="36"/>
      <c r="CA19" s="36"/>
      <c r="CB19" s="36"/>
      <c r="CC19" s="36"/>
      <c r="CD19" s="36"/>
    </row>
    <row r="20">
      <c r="A20" s="25" t="n">
        <v>13.0</v>
      </c>
      <c r="B20" s="26" t="s">
        <v>33</v>
      </c>
      <c r="C20" s="27" t="s">
        <v>56</v>
      </c>
      <c r="D20" s="28" t="s">
        <v>57</v>
      </c>
      <c r="E20" s="28" t="s">
        <v>58</v>
      </c>
      <c r="F20" s="29" t="s">
        <v>59</v>
      </c>
      <c r="G20" s="25" t="s">
        <v>38</v>
      </c>
      <c r="H20" s="30" t="n">
        <v>3.0</v>
      </c>
      <c r="I20" s="31" t="n">
        <v>46188.0</v>
      </c>
      <c r="J20" s="31" t="n">
        <f>WORKDAY(I20,ROUND(H20*5,0)-1)</f>
        <v>46206.0</v>
      </c>
      <c r="K20" s="31"/>
      <c r="L20" s="31"/>
      <c r="M20" s="32" t="str">
        <f>IF(OR(ISBLANK(K20),ISBLANK(L20)),"",NETWORKDAYS(K20,L20)/5)</f>
        <v/>
      </c>
      <c r="N20" s="33"/>
      <c r="O20" s="25" t="str">
        <f>IF($N20&gt;=1,"Completed",
 IF($N20=0,"Not Started",
 "In Progress"))</f>
        <v>Not Started</v>
      </c>
      <c r="P20" s="25" t="str">
        <f>IF($N20&gt;=1,
    IF($M20&gt;$K20,"Delayed","On Track"),
 IF(TODAY()&lt;$J20,
    "On Track",
 IF(AND($N20=0,TODAY()&gt;$K20),
    "Delayed",
 IF(AND($L20&lt;&gt;"",$L20&gt;$J20),
    "At Risk",
 IF(TODAY()&gt;$K20,
    "Delayed",
 "On Track")))))</f>
        <v>Delayed</v>
      </c>
      <c r="Q20" s="49" t="s">
        <v>38</v>
      </c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X20" s="36"/>
      <c r="BY20" s="36"/>
      <c r="BZ20" s="36"/>
      <c r="CA20" s="36"/>
      <c r="CB20" s="36"/>
      <c r="CC20" s="36"/>
      <c r="CD20" s="36"/>
    </row>
    <row r="21">
      <c r="A21" s="25" t="n">
        <v>14.0</v>
      </c>
      <c r="B21" s="26" t="s">
        <v>33</v>
      </c>
      <c r="C21" s="27" t="s">
        <v>56</v>
      </c>
      <c r="D21" s="28" t="s">
        <v>57</v>
      </c>
      <c r="E21" s="28" t="s">
        <v>58</v>
      </c>
      <c r="F21" s="29" t="s">
        <v>60</v>
      </c>
      <c r="G21" s="25" t="s">
        <v>38</v>
      </c>
      <c r="H21" s="30" t="n">
        <v>3.0</v>
      </c>
      <c r="I21" s="31" t="n">
        <v>46188.0</v>
      </c>
      <c r="J21" s="31" t="n">
        <f>WORKDAY(I21,ROUND(H21*5,0)-1)</f>
        <v>46206.0</v>
      </c>
      <c r="K21" s="31"/>
      <c r="L21" s="31"/>
      <c r="M21" s="32" t="str">
        <f>IF(OR(ISBLANK(K21),ISBLANK(L21)),"",NETWORKDAYS(K21,L21)/5)</f>
        <v/>
      </c>
      <c r="N21" s="33"/>
      <c r="O21" s="25" t="str">
        <f>IF($N21&gt;=1,"Completed",
 IF($N21=0,"Not Started",
 "In Progress"))</f>
        <v>Not Started</v>
      </c>
      <c r="P21" s="25" t="str">
        <f>IF($N21&gt;=1,
    IF($M21&gt;$K21,"Delayed","On Track"),
 IF(TODAY()&lt;$J21,
    "On Track",
 IF(AND($N21=0,TODAY()&gt;$K21),
    "Delayed",
 IF(AND($L21&lt;&gt;"",$L21&gt;$J21),
    "At Risk",
 IF(TODAY()&gt;$K21,
    "Delayed",
 "On Track")))))</f>
        <v>Delayed</v>
      </c>
      <c r="Q21" s="50" t="s">
        <v>38</v>
      </c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X21" s="36"/>
      <c r="BY21" s="36"/>
      <c r="BZ21" s="36"/>
      <c r="CA21" s="36"/>
      <c r="CB21" s="36"/>
      <c r="CC21" s="36"/>
      <c r="CD21" s="36"/>
    </row>
    <row r="22">
      <c r="A22" s="25" t="n">
        <v>15.0</v>
      </c>
      <c r="B22" s="26" t="s">
        <v>33</v>
      </c>
      <c r="C22" s="27" t="s">
        <v>56</v>
      </c>
      <c r="D22" s="28" t="s">
        <v>57</v>
      </c>
      <c r="E22" s="28" t="s">
        <v>58</v>
      </c>
      <c r="F22" s="29" t="s">
        <v>61</v>
      </c>
      <c r="G22" s="25" t="s">
        <v>38</v>
      </c>
      <c r="H22" s="30" t="n">
        <v>3.0</v>
      </c>
      <c r="I22" s="31" t="n">
        <v>46188.0</v>
      </c>
      <c r="J22" s="31" t="n">
        <f>WORKDAY(I22,ROUND(H22*5,0)-1)</f>
        <v>46206.0</v>
      </c>
      <c r="K22" s="31"/>
      <c r="L22" s="31"/>
      <c r="M22" s="32" t="str">
        <f>IF(OR(ISBLANK(K22),ISBLANK(L22)),"",NETWORKDAYS(K22,L22)/5)</f>
        <v/>
      </c>
      <c r="N22" s="33"/>
      <c r="O22" s="25" t="str">
        <f>IF($N22&gt;=1,"Completed",
 IF($N22=0,"Not Started",
 "In Progress"))</f>
        <v>Not Started</v>
      </c>
      <c r="P22" s="25" t="str">
        <f>IF($N22&gt;=1,
    IF($M22&gt;$K22,"Delayed","On Track"),
 IF(TODAY()&lt;$J22,
    "On Track",
 IF(AND($N22=0,TODAY()&gt;$K22),
    "Delayed",
 IF(AND($L22&lt;&gt;"",$L22&gt;$J22),
    "At Risk",
 IF(TODAY()&gt;$K22,
    "Delayed",
 "On Track")))))</f>
        <v>Delayed</v>
      </c>
      <c r="Q22" s="51" t="s">
        <v>38</v>
      </c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X22" s="36"/>
      <c r="BY22" s="36"/>
      <c r="BZ22" s="36"/>
      <c r="CA22" s="36"/>
      <c r="CB22" s="36"/>
      <c r="CC22" s="36"/>
      <c r="CD22" s="36"/>
    </row>
    <row r="23">
      <c r="A23" s="25" t="n">
        <v>16.0</v>
      </c>
      <c r="B23" s="26" t="s">
        <v>33</v>
      </c>
      <c r="C23" s="27" t="s">
        <v>56</v>
      </c>
      <c r="D23" s="28" t="s">
        <v>62</v>
      </c>
      <c r="E23" s="28" t="s">
        <v>63</v>
      </c>
      <c r="F23" s="29" t="s">
        <v>64</v>
      </c>
      <c r="G23" s="25" t="s">
        <v>38</v>
      </c>
      <c r="H23" s="30" t="n">
        <v>3.0</v>
      </c>
      <c r="I23" s="31" t="n">
        <v>46188.0</v>
      </c>
      <c r="J23" s="31" t="n">
        <f>WORKDAY(I23,ROUND(H23*5,0)-1)</f>
        <v>46206.0</v>
      </c>
      <c r="K23" s="31"/>
      <c r="L23" s="31"/>
      <c r="M23" s="32" t="str">
        <f>IF(OR(ISBLANK(K23),ISBLANK(L23)),"",NETWORKDAYS(K23,L23)/5)</f>
        <v/>
      </c>
      <c r="N23" s="33"/>
      <c r="O23" s="25" t="str">
        <f>IF($N23&gt;=1,"Completed",
 IF($N23=0,"Not Started",
 "In Progress"))</f>
        <v>Not Started</v>
      </c>
      <c r="P23" s="25" t="str">
        <f>IF($N23&gt;=1,
    IF($M23&gt;$K23,"Delayed","On Track"),
 IF(TODAY()&lt;$J23,
    "On Track",
 IF(AND($N23=0,TODAY()&gt;$K23),
    "Delayed",
 IF(AND($L23&lt;&gt;"",$L23&gt;$J23),
    "At Risk",
 IF(TODAY()&gt;$K23,
    "Delayed",
 "On Track")))))</f>
        <v>Delayed</v>
      </c>
      <c r="Q23" s="52" t="s">
        <v>38</v>
      </c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X23" s="36"/>
      <c r="BY23" s="36"/>
      <c r="BZ23" s="36"/>
      <c r="CA23" s="36"/>
      <c r="CB23" s="36"/>
      <c r="CC23" s="36"/>
      <c r="CD23" s="36"/>
    </row>
    <row r="24">
      <c r="A24" s="25" t="n">
        <v>17.0</v>
      </c>
      <c r="B24" s="26" t="s">
        <v>33</v>
      </c>
      <c r="C24" s="27" t="s">
        <v>56</v>
      </c>
      <c r="D24" s="28" t="s">
        <v>62</v>
      </c>
      <c r="E24" s="28" t="s">
        <v>63</v>
      </c>
      <c r="F24" s="29" t="s">
        <v>65</v>
      </c>
      <c r="G24" s="25" t="s">
        <v>38</v>
      </c>
      <c r="H24" s="30" t="n">
        <v>3.0</v>
      </c>
      <c r="I24" s="31" t="n">
        <v>46188.0</v>
      </c>
      <c r="J24" s="31" t="n">
        <f>WORKDAY(I24,ROUND(H24*5,0)-1)</f>
        <v>46206.0</v>
      </c>
      <c r="K24" s="31"/>
      <c r="L24" s="31"/>
      <c r="M24" s="32" t="str">
        <f>IF(OR(ISBLANK(K24),ISBLANK(L24)),"",NETWORKDAYS(K24,L24)/5)</f>
        <v/>
      </c>
      <c r="N24" s="33"/>
      <c r="O24" s="25" t="str">
        <f>IF($N24&gt;=1,"Completed",
 IF($N24=0,"Not Started",
 "In Progress"))</f>
        <v>Not Started</v>
      </c>
      <c r="P24" s="25" t="str">
        <f>IF($N24&gt;=1,
    IF($M24&gt;$K24,"Delayed","On Track"),
 IF(TODAY()&lt;$J24,
    "On Track",
 IF(AND($N24=0,TODAY()&gt;$K24),
    "Delayed",
 IF(AND($L24&lt;&gt;"",$L24&gt;$J24),
    "At Risk",
 IF(TODAY()&gt;$K24,
    "Delayed",
 "On Track")))))</f>
        <v>Delayed</v>
      </c>
      <c r="Q24" s="53" t="s">
        <v>38</v>
      </c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X24" s="36"/>
      <c r="BY24" s="36"/>
      <c r="BZ24" s="36"/>
      <c r="CA24" s="36"/>
      <c r="CB24" s="36"/>
      <c r="CC24" s="36"/>
      <c r="CD24" s="36"/>
    </row>
    <row r="25">
      <c r="A25" s="25" t="n">
        <v>18.0</v>
      </c>
      <c r="B25" s="26" t="s">
        <v>33</v>
      </c>
      <c r="C25" s="27" t="s">
        <v>56</v>
      </c>
      <c r="D25" s="28" t="s">
        <v>66</v>
      </c>
      <c r="E25" s="28" t="s">
        <v>67</v>
      </c>
      <c r="F25" s="29" t="s">
        <v>68</v>
      </c>
      <c r="G25" s="25" t="s">
        <v>38</v>
      </c>
      <c r="H25" s="30" t="n">
        <v>3.0</v>
      </c>
      <c r="I25" s="31" t="n">
        <v>46188.0</v>
      </c>
      <c r="J25" s="31" t="n">
        <f>WORKDAY(I25,ROUND(H25*5,0)-1)</f>
        <v>46206.0</v>
      </c>
      <c r="K25" s="31"/>
      <c r="L25" s="31"/>
      <c r="M25" s="32" t="str">
        <f>IF(OR(ISBLANK(K25),ISBLANK(L25)),"",NETWORKDAYS(K25,L25)/5)</f>
        <v/>
      </c>
      <c r="N25" s="33"/>
      <c r="O25" s="25" t="str">
        <f>IF($N25&gt;=1,"Completed",
 IF($N25=0,"Not Started",
 "In Progress"))</f>
        <v>Not Started</v>
      </c>
      <c r="P25" s="25" t="str">
        <f>IF($N25&gt;=1,
    IF($M25&gt;$K25,"Delayed","On Track"),
 IF(TODAY()&lt;$J25,
    "On Track",
 IF(AND($N25=0,TODAY()&gt;$K25),
    "Delayed",
 IF(AND($L25&lt;&gt;"",$L25&gt;$J25),
    "At Risk",
 IF(TODAY()&gt;$K25,
    "Delayed",
 "On Track")))))</f>
        <v>Delayed</v>
      </c>
      <c r="Q25" s="54" t="s">
        <v>38</v>
      </c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X25" s="36"/>
      <c r="BY25" s="36"/>
      <c r="BZ25" s="36"/>
      <c r="CA25" s="36"/>
      <c r="CB25" s="36"/>
      <c r="CC25" s="36"/>
      <c r="CD25" s="36"/>
    </row>
    <row r="26">
      <c r="A26" s="25" t="n">
        <v>19.0</v>
      </c>
      <c r="B26" s="26" t="s">
        <v>33</v>
      </c>
      <c r="C26" s="27" t="s">
        <v>56</v>
      </c>
      <c r="D26" s="28" t="s">
        <v>66</v>
      </c>
      <c r="E26" s="28" t="s">
        <v>67</v>
      </c>
      <c r="F26" s="29" t="s">
        <v>69</v>
      </c>
      <c r="G26" s="25" t="s">
        <v>38</v>
      </c>
      <c r="H26" s="30" t="n">
        <v>3.0</v>
      </c>
      <c r="I26" s="31" t="n">
        <v>46188.0</v>
      </c>
      <c r="J26" s="31" t="n">
        <f>WORKDAY(I26,ROUND(H26*5,0)-1)</f>
        <v>46206.0</v>
      </c>
      <c r="K26" s="31"/>
      <c r="L26" s="31"/>
      <c r="M26" s="32" t="str">
        <f>IF(OR(ISBLANK(K26),ISBLANK(L26)),"",NETWORKDAYS(K26,L26)/5)</f>
        <v/>
      </c>
      <c r="N26" s="33"/>
      <c r="O26" s="25" t="str">
        <f>IF($N26&gt;=1,"Completed",
 IF($N26=0,"Not Started",
 "In Progress"))</f>
        <v>Not Started</v>
      </c>
      <c r="P26" s="25" t="str">
        <f>IF($N26&gt;=1,
    IF($M26&gt;$K26,"Delayed","On Track"),
 IF(TODAY()&lt;$J26,
    "On Track",
 IF(AND($N26=0,TODAY()&gt;$K26),
    "Delayed",
 IF(AND($L26&lt;&gt;"",$L26&gt;$J26),
    "At Risk",
 IF(TODAY()&gt;$K26,
    "Delayed",
 "On Track")))))</f>
        <v>Delayed</v>
      </c>
      <c r="Q26" s="55" t="s">
        <v>38</v>
      </c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X26" s="36"/>
      <c r="BY26" s="36"/>
      <c r="BZ26" s="36"/>
      <c r="CA26" s="36"/>
      <c r="CB26" s="36"/>
      <c r="CC26" s="36"/>
      <c r="CD26" s="36"/>
    </row>
    <row r="27">
      <c r="A27" s="25" t="n">
        <v>20.0</v>
      </c>
      <c r="B27" s="26" t="s">
        <v>33</v>
      </c>
      <c r="C27" s="27" t="s">
        <v>56</v>
      </c>
      <c r="D27" s="28" t="s">
        <v>70</v>
      </c>
      <c r="E27" s="28" t="s">
        <v>71</v>
      </c>
      <c r="F27" s="29" t="s">
        <v>72</v>
      </c>
      <c r="G27" s="25" t="s">
        <v>38</v>
      </c>
      <c r="H27" s="30" t="n">
        <v>3.0</v>
      </c>
      <c r="I27" s="31" t="n">
        <v>46188.0</v>
      </c>
      <c r="J27" s="31" t="n">
        <f>WORKDAY(I27,ROUND(H27*5,0)-1)</f>
        <v>46206.0</v>
      </c>
      <c r="K27" s="31"/>
      <c r="L27" s="31"/>
      <c r="M27" s="32" t="str">
        <f>IF(OR(ISBLANK(K27),ISBLANK(L27)),"",NETWORKDAYS(K27,L27)/5)</f>
        <v/>
      </c>
      <c r="N27" s="33"/>
      <c r="O27" s="25" t="str">
        <f>IF($N27&gt;=1,"Completed",
 IF($N27=0,"Not Started",
 "In Progress"))</f>
        <v>Not Started</v>
      </c>
      <c r="P27" s="25" t="str">
        <f>IF($N27&gt;=1,
    IF($M27&gt;$K27,"Delayed","On Track"),
 IF(TODAY()&lt;$J27,
    "On Track",
 IF(AND($N27=0,TODAY()&gt;$K27),
    "Delayed",
 IF(AND($L27&lt;&gt;"",$L27&gt;$J27),
    "At Risk",
 IF(TODAY()&gt;$K27,
    "Delayed",
 "On Track")))))</f>
        <v>Delayed</v>
      </c>
      <c r="Q27" s="56" t="s">
        <v>38</v>
      </c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X27" s="36"/>
      <c r="BY27" s="36"/>
      <c r="BZ27" s="36"/>
      <c r="CA27" s="36"/>
      <c r="CB27" s="36"/>
      <c r="CC27" s="36"/>
      <c r="CD27" s="36"/>
    </row>
    <row r="28">
      <c r="A28" s="25" t="n">
        <v>21.0</v>
      </c>
      <c r="B28" s="26" t="s">
        <v>33</v>
      </c>
      <c r="C28" s="27" t="s">
        <v>56</v>
      </c>
      <c r="D28" s="28" t="s">
        <v>70</v>
      </c>
      <c r="E28" s="28" t="s">
        <v>71</v>
      </c>
      <c r="F28" s="29" t="s">
        <v>73</v>
      </c>
      <c r="G28" s="25" t="s">
        <v>38</v>
      </c>
      <c r="H28" s="30" t="n">
        <v>3.0</v>
      </c>
      <c r="I28" s="31" t="n">
        <v>46188.0</v>
      </c>
      <c r="J28" s="31" t="n">
        <f>WORKDAY(I28,ROUND(H28*5,0)-1)</f>
        <v>46206.0</v>
      </c>
      <c r="K28" s="31"/>
      <c r="L28" s="31"/>
      <c r="M28" s="32" t="str">
        <f>IF(OR(ISBLANK(K28),ISBLANK(L28)),"",NETWORKDAYS(K28,L28)/5)</f>
        <v/>
      </c>
      <c r="N28" s="33"/>
      <c r="O28" s="25" t="str">
        <f>IF($N28&gt;=1,"Completed",
 IF($N28=0,"Not Started",
 "In Progress"))</f>
        <v>Not Started</v>
      </c>
      <c r="P28" s="25" t="str">
        <f>IF($N28&gt;=1,
    IF($M28&gt;$K28,"Delayed","On Track"),
 IF(TODAY()&lt;$J28,
    "On Track",
 IF(AND($N28=0,TODAY()&gt;$K28),
    "Delayed",
 IF(AND($L28&lt;&gt;"",$L28&gt;$J28),
    "At Risk",
 IF(TODAY()&gt;$K28,
    "Delayed",
 "On Track")))))</f>
        <v>Delayed</v>
      </c>
      <c r="Q28" s="57" t="s">
        <v>38</v>
      </c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X28" s="36"/>
      <c r="BY28" s="36"/>
      <c r="BZ28" s="36"/>
      <c r="CA28" s="36"/>
      <c r="CB28" s="36"/>
      <c r="CC28" s="36"/>
      <c r="CD28" s="36"/>
    </row>
    <row r="29">
      <c r="A29" s="25" t="n">
        <v>22.0</v>
      </c>
      <c r="B29" s="26" t="s">
        <v>33</v>
      </c>
      <c r="C29" s="27" t="s">
        <v>56</v>
      </c>
      <c r="D29" s="28" t="s">
        <v>70</v>
      </c>
      <c r="E29" s="28" t="s">
        <v>71</v>
      </c>
      <c r="F29" s="29" t="s">
        <v>74</v>
      </c>
      <c r="G29" s="25" t="s">
        <v>38</v>
      </c>
      <c r="H29" s="30" t="n">
        <v>3.0</v>
      </c>
      <c r="I29" s="31" t="n">
        <v>46188.0</v>
      </c>
      <c r="J29" s="31" t="n">
        <f>WORKDAY(I29,ROUND(H29*5,0)-1)</f>
        <v>46206.0</v>
      </c>
      <c r="K29" s="31"/>
      <c r="L29" s="31"/>
      <c r="M29" s="32" t="str">
        <f>IF(OR(ISBLANK(K29),ISBLANK(L29)),"",NETWORKDAYS(K29,L29)/5)</f>
        <v/>
      </c>
      <c r="N29" s="33"/>
      <c r="O29" s="25" t="str">
        <f>IF($N29&gt;=1,"Completed",
 IF($N29=0,"Not Started",
 "In Progress"))</f>
        <v>Not Started</v>
      </c>
      <c r="P29" s="25" t="str">
        <f>IF($N29&gt;=1,
    IF($M29&gt;$K29,"Delayed","On Track"),
 IF(TODAY()&lt;$J29,
    "On Track",
 IF(AND($N29=0,TODAY()&gt;$K29),
    "Delayed",
 IF(AND($L29&lt;&gt;"",$L29&gt;$J29),
    "At Risk",
 IF(TODAY()&gt;$K29,
    "Delayed",
 "On Track")))))</f>
        <v>Delayed</v>
      </c>
      <c r="Q29" s="58" t="s">
        <v>38</v>
      </c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X29" s="36"/>
      <c r="BY29" s="36"/>
      <c r="BZ29" s="36"/>
      <c r="CA29" s="36"/>
      <c r="CB29" s="36"/>
      <c r="CC29" s="36"/>
      <c r="CD29" s="36"/>
    </row>
    <row r="30">
      <c r="A30" s="25" t="n">
        <v>23.0</v>
      </c>
      <c r="B30" s="26" t="s">
        <v>33</v>
      </c>
      <c r="C30" s="27" t="s">
        <v>56</v>
      </c>
      <c r="D30" s="28" t="s">
        <v>75</v>
      </c>
      <c r="E30" s="28" t="s">
        <v>76</v>
      </c>
      <c r="F30" s="29" t="s">
        <v>77</v>
      </c>
      <c r="G30" s="25" t="s">
        <v>38</v>
      </c>
      <c r="H30" s="30" t="n">
        <v>2.0</v>
      </c>
      <c r="I30" s="31" t="n">
        <v>46202.0</v>
      </c>
      <c r="J30" s="31" t="n">
        <f>WORKDAY(I30,ROUND(H30*5,0)-1)</f>
        <v>46213.0</v>
      </c>
      <c r="K30" s="31"/>
      <c r="L30" s="31"/>
      <c r="M30" s="32" t="str">
        <f>IF(OR(ISBLANK(K30),ISBLANK(L30)),"",NETWORKDAYS(K30,L30)/5)</f>
        <v/>
      </c>
      <c r="N30" s="33"/>
      <c r="O30" s="25" t="str">
        <f>IF($N30&gt;=1,"Completed",
 IF($N30=0,"Not Started",
 "In Progress"))</f>
        <v>Not Started</v>
      </c>
      <c r="P30" s="25" t="str">
        <f>IF($N30&gt;=1,
    IF($M30&gt;$K30,"Delayed","On Track"),
 IF(TODAY()&lt;$J30,
    "On Track",
 IF(AND($N30=0,TODAY()&gt;$K30),
    "Delayed",
 IF(AND($L30&lt;&gt;"",$L30&gt;$J30),
    "At Risk",
 IF(TODAY()&gt;$K30,
    "Delayed",
 "On Track")))))</f>
        <v>Delayed</v>
      </c>
      <c r="Q30" s="59" t="s">
        <v>38</v>
      </c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X30" s="36"/>
      <c r="BY30" s="36"/>
      <c r="BZ30" s="36"/>
      <c r="CA30" s="36"/>
      <c r="CB30" s="36"/>
      <c r="CC30" s="36"/>
      <c r="CD30" s="36"/>
    </row>
    <row r="31">
      <c r="A31" s="25" t="n">
        <v>24.0</v>
      </c>
      <c r="B31" s="26" t="s">
        <v>33</v>
      </c>
      <c r="C31" s="27" t="s">
        <v>56</v>
      </c>
      <c r="D31" s="28" t="s">
        <v>75</v>
      </c>
      <c r="E31" s="28" t="s">
        <v>78</v>
      </c>
      <c r="F31" s="29" t="s">
        <v>79</v>
      </c>
      <c r="G31" s="25" t="s">
        <v>38</v>
      </c>
      <c r="H31" s="30" t="n">
        <v>2.0</v>
      </c>
      <c r="I31" s="31" t="n">
        <v>46202.0</v>
      </c>
      <c r="J31" s="31" t="n">
        <f>WORKDAY(I31,ROUND(H31*5,0)-1)</f>
        <v>46213.0</v>
      </c>
      <c r="K31" s="31"/>
      <c r="L31" s="31"/>
      <c r="M31" s="32" t="str">
        <f>IF(OR(ISBLANK(K31),ISBLANK(L31)),"",NETWORKDAYS(K31,L31)/5)</f>
        <v/>
      </c>
      <c r="N31" s="33"/>
      <c r="O31" s="25" t="str">
        <f>IF($N31&gt;=1,"Completed",
 IF($N31=0,"Not Started",
 "In Progress"))</f>
        <v>Not Started</v>
      </c>
      <c r="P31" s="25" t="str">
        <f>IF($N31&gt;=1,
    IF($M31&gt;$K31,"Delayed","On Track"),
 IF(TODAY()&lt;$J31,
    "On Track",
 IF(AND($N31=0,TODAY()&gt;$K31),
    "Delayed",
 IF(AND($L31&lt;&gt;"",$L31&gt;$J31),
    "At Risk",
 IF(TODAY()&gt;$K31,
    "Delayed",
 "On Track")))))</f>
        <v>Delayed</v>
      </c>
      <c r="Q31" s="60" t="s">
        <v>38</v>
      </c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X31" s="36"/>
      <c r="BY31" s="36"/>
      <c r="BZ31" s="36"/>
      <c r="CA31" s="36"/>
      <c r="CB31" s="36"/>
      <c r="CC31" s="36"/>
      <c r="CD31" s="36"/>
    </row>
    <row r="32">
      <c r="A32" s="25" t="n">
        <v>25.0</v>
      </c>
      <c r="B32" s="26" t="s">
        <v>33</v>
      </c>
      <c r="C32" s="27" t="s">
        <v>56</v>
      </c>
      <c r="D32" s="28" t="s">
        <v>75</v>
      </c>
      <c r="E32" s="28" t="s">
        <v>78</v>
      </c>
      <c r="F32" s="29" t="s">
        <v>80</v>
      </c>
      <c r="G32" s="25" t="s">
        <v>38</v>
      </c>
      <c r="H32" s="30" t="n">
        <v>2.0</v>
      </c>
      <c r="I32" s="31" t="n">
        <v>46202.0</v>
      </c>
      <c r="J32" s="31" t="n">
        <f>WORKDAY(I32,ROUND(H32*5,0)-1)</f>
        <v>46213.0</v>
      </c>
      <c r="K32" s="31"/>
      <c r="L32" s="31"/>
      <c r="M32" s="32" t="str">
        <f>IF(OR(ISBLANK(K32),ISBLANK(L32)),"",NETWORKDAYS(K32,L32)/5)</f>
        <v/>
      </c>
      <c r="N32" s="33"/>
      <c r="O32" s="25" t="str">
        <f>IF($N32&gt;=1,"Completed",
 IF($N32=0,"Not Started",
 "In Progress"))</f>
        <v>Not Started</v>
      </c>
      <c r="P32" s="25" t="str">
        <f>IF($N32&gt;=1,
    IF($M32&gt;$K32,"Delayed","On Track"),
 IF(TODAY()&lt;$J32,
    "On Track",
 IF(AND($N32=0,TODAY()&gt;$K32),
    "Delayed",
 IF(AND($L32&lt;&gt;"",$L32&gt;$J32),
    "At Risk",
 IF(TODAY()&gt;$K32,
    "Delayed",
 "On Track")))))</f>
        <v>Delayed</v>
      </c>
      <c r="Q32" s="61" t="s">
        <v>38</v>
      </c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X32" s="36"/>
      <c r="BY32" s="36"/>
      <c r="BZ32" s="36"/>
      <c r="CA32" s="36"/>
      <c r="CB32" s="36"/>
      <c r="CC32" s="36"/>
      <c r="CD32" s="36"/>
    </row>
    <row r="33">
      <c r="A33" s="25" t="n">
        <v>26.0</v>
      </c>
      <c r="B33" s="26" t="s">
        <v>33</v>
      </c>
      <c r="C33" s="27" t="s">
        <v>81</v>
      </c>
      <c r="D33" s="28" t="s">
        <v>82</v>
      </c>
      <c r="E33" s="28" t="s">
        <v>83</v>
      </c>
      <c r="F33" s="29" t="s">
        <v>84</v>
      </c>
      <c r="G33" s="25" t="s">
        <v>38</v>
      </c>
      <c r="H33" s="30" t="n">
        <v>2.0</v>
      </c>
      <c r="I33" s="31" t="n">
        <v>46195.0</v>
      </c>
      <c r="J33" s="31" t="n">
        <f>WORKDAY(I33,ROUND(H33*5,0)-1)</f>
        <v>46206.0</v>
      </c>
      <c r="K33" s="31"/>
      <c r="L33" s="31"/>
      <c r="M33" s="32" t="str">
        <f>IF(OR(ISBLANK(K33),ISBLANK(L33)),"",NETWORKDAYS(K33,L33)/5)</f>
        <v/>
      </c>
      <c r="N33" s="33"/>
      <c r="O33" s="25" t="str">
        <f>IF($N33&gt;=1,"Completed",
 IF($N33=0,"Not Started",
 "In Progress"))</f>
        <v>Not Started</v>
      </c>
      <c r="P33" s="25" t="str">
        <f>IF($N33&gt;=1,
    IF($M33&gt;$K33,"Delayed","On Track"),
 IF(TODAY()&lt;$J33,
    "On Track",
 IF(AND($N33=0,TODAY()&gt;$K33),
    "Delayed",
 IF(AND($L33&lt;&gt;"",$L33&gt;$J33),
    "At Risk",
 IF(TODAY()&gt;$K33,
    "Delayed",
 "On Track")))))</f>
        <v>Delayed</v>
      </c>
      <c r="Q33" s="62" t="s">
        <v>38</v>
      </c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X33" s="36"/>
      <c r="BY33" s="36"/>
      <c r="BZ33" s="36"/>
      <c r="CA33" s="36"/>
      <c r="CB33" s="36"/>
      <c r="CC33" s="36"/>
      <c r="CD33" s="36"/>
    </row>
    <row r="34">
      <c r="A34" s="25" t="n">
        <v>27.0</v>
      </c>
      <c r="B34" s="26" t="s">
        <v>33</v>
      </c>
      <c r="C34" s="27" t="s">
        <v>81</v>
      </c>
      <c r="D34" s="28" t="s">
        <v>82</v>
      </c>
      <c r="E34" s="28" t="s">
        <v>85</v>
      </c>
      <c r="F34" s="29" t="s">
        <v>86</v>
      </c>
      <c r="G34" s="25" t="s">
        <v>38</v>
      </c>
      <c r="H34" s="30" t="n">
        <v>1.0</v>
      </c>
      <c r="I34" s="31" t="n">
        <v>46209.0</v>
      </c>
      <c r="J34" s="31" t="n">
        <f>WORKDAY(I34,ROUND(H34*5,0)-1)</f>
        <v>46213.0</v>
      </c>
      <c r="K34" s="31"/>
      <c r="L34" s="31"/>
      <c r="M34" s="32" t="str">
        <f>IF(OR(ISBLANK(K34),ISBLANK(L34)),"",NETWORKDAYS(K34,L34)/5)</f>
        <v/>
      </c>
      <c r="N34" s="33"/>
      <c r="O34" s="25" t="str">
        <f>IF($N34&gt;=1,"Completed",
 IF($N34=0,"Not Started",
 "In Progress"))</f>
        <v>Not Started</v>
      </c>
      <c r="P34" s="25" t="str">
        <f>IF($N34&gt;=1,
    IF($M34&gt;$K34,"Delayed","On Track"),
 IF(TODAY()&lt;$J34,
    "On Track",
 IF(AND($N34=0,TODAY()&gt;$K34),
    "Delayed",
 IF(AND($L34&lt;&gt;"",$L34&gt;$J34),
    "At Risk",
 IF(TODAY()&gt;$K34,
    "Delayed",
 "On Track")))))</f>
        <v>Delayed</v>
      </c>
      <c r="Q34" s="63" t="s">
        <v>38</v>
      </c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X34" s="36"/>
      <c r="BY34" s="36"/>
      <c r="BZ34" s="36"/>
      <c r="CA34" s="36"/>
      <c r="CB34" s="36"/>
      <c r="CC34" s="36"/>
      <c r="CD34" s="36"/>
    </row>
    <row r="35">
      <c r="A35" s="25" t="n">
        <v>28.0</v>
      </c>
      <c r="B35" s="26" t="s">
        <v>33</v>
      </c>
      <c r="C35" s="27" t="s">
        <v>81</v>
      </c>
      <c r="D35" s="28" t="s">
        <v>87</v>
      </c>
      <c r="E35" s="28" t="s">
        <v>88</v>
      </c>
      <c r="F35" s="29" t="s">
        <v>89</v>
      </c>
      <c r="G35" s="25" t="s">
        <v>38</v>
      </c>
      <c r="H35" s="30" t="n">
        <v>1.0</v>
      </c>
      <c r="I35" s="31" t="n">
        <v>46209.0</v>
      </c>
      <c r="J35" s="31" t="n">
        <f>WORKDAY(I35,ROUND(H35*5,0)-1)</f>
        <v>46213.0</v>
      </c>
      <c r="K35" s="31"/>
      <c r="L35" s="31"/>
      <c r="M35" s="32" t="str">
        <f>IF(OR(ISBLANK(K35),ISBLANK(L35)),"",NETWORKDAYS(K35,L35)/5)</f>
        <v/>
      </c>
      <c r="N35" s="33"/>
      <c r="O35" s="25" t="str">
        <f>IF($N35&gt;=1,"Completed",
 IF($N35=0,"Not Started",
 "In Progress"))</f>
        <v>Not Started</v>
      </c>
      <c r="P35" s="25" t="str">
        <f>IF($N35&gt;=1,
    IF($M35&gt;$K35,"Delayed","On Track"),
 IF(TODAY()&lt;$J35,
    "On Track",
 IF(AND($N35=0,TODAY()&gt;$K35),
    "Delayed",
 IF(AND($L35&lt;&gt;"",$L35&gt;$J35),
    "At Risk",
 IF(TODAY()&gt;$K35,
    "Delayed",
 "On Track")))))</f>
        <v>Delayed</v>
      </c>
      <c r="Q35" s="64" t="s">
        <v>38</v>
      </c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X35" s="36"/>
      <c r="BY35" s="36"/>
      <c r="BZ35" s="36"/>
      <c r="CA35" s="36"/>
      <c r="CB35" s="36"/>
      <c r="CC35" s="36"/>
      <c r="CD35" s="36"/>
    </row>
    <row r="36">
      <c r="A36" s="25" t="n">
        <v>29.0</v>
      </c>
      <c r="B36" s="26" t="s">
        <v>33</v>
      </c>
      <c r="C36" s="27" t="s">
        <v>81</v>
      </c>
      <c r="D36" s="28" t="s">
        <v>87</v>
      </c>
      <c r="E36" s="28" t="s">
        <v>90</v>
      </c>
      <c r="F36" s="29" t="s">
        <v>91</v>
      </c>
      <c r="G36" s="25" t="s">
        <v>38</v>
      </c>
      <c r="H36" s="30" t="n">
        <v>1.0</v>
      </c>
      <c r="I36" s="31" t="n">
        <v>46209.0</v>
      </c>
      <c r="J36" s="31" t="n">
        <f>WORKDAY(I36,ROUND(H36*5,0)-1)</f>
        <v>46213.0</v>
      </c>
      <c r="K36" s="31"/>
      <c r="L36" s="31"/>
      <c r="M36" s="32" t="str">
        <f>IF(OR(ISBLANK(K36),ISBLANK(L36)),"",NETWORKDAYS(K36,L36)/5)</f>
        <v/>
      </c>
      <c r="N36" s="33"/>
      <c r="O36" s="25" t="str">
        <f>IF($N36&gt;=1,"Completed",
 IF($N36=0,"Not Started",
 "In Progress"))</f>
        <v>Not Started</v>
      </c>
      <c r="P36" s="25" t="str">
        <f>IF($N36&gt;=1,
    IF($M36&gt;$K36,"Delayed","On Track"),
 IF(TODAY()&lt;$J36,
    "On Track",
 IF(AND($N36=0,TODAY()&gt;$K36),
    "Delayed",
 IF(AND($L36&lt;&gt;"",$L36&gt;$J36),
    "At Risk",
 IF(TODAY()&gt;$K36,
    "Delayed",
 "On Track")))))</f>
        <v>Delayed</v>
      </c>
      <c r="Q36" s="65" t="s">
        <v>38</v>
      </c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X36" s="36"/>
      <c r="BY36" s="36"/>
      <c r="BZ36" s="36"/>
      <c r="CA36" s="36"/>
      <c r="CB36" s="36"/>
      <c r="CC36" s="36"/>
      <c r="CD36" s="36"/>
    </row>
    <row r="37">
      <c r="A37" s="25" t="n">
        <v>30.0</v>
      </c>
      <c r="B37" s="26" t="s">
        <v>33</v>
      </c>
      <c r="C37" s="27" t="s">
        <v>81</v>
      </c>
      <c r="D37" s="28" t="s">
        <v>87</v>
      </c>
      <c r="E37" s="28" t="s">
        <v>92</v>
      </c>
      <c r="F37" s="29" t="s">
        <v>93</v>
      </c>
      <c r="G37" s="25" t="s">
        <v>38</v>
      </c>
      <c r="H37" s="30" t="n">
        <v>1.0</v>
      </c>
      <c r="I37" s="31" t="n">
        <v>46209.0</v>
      </c>
      <c r="J37" s="31" t="n">
        <f>WORKDAY(I37,ROUND(H37*5,0)-1)</f>
        <v>46213.0</v>
      </c>
      <c r="K37" s="31"/>
      <c r="L37" s="31"/>
      <c r="M37" s="32" t="str">
        <f>IF(OR(ISBLANK(K37),ISBLANK(L37)),"",NETWORKDAYS(K37,L37)/5)</f>
        <v/>
      </c>
      <c r="N37" s="33"/>
      <c r="O37" s="25" t="str">
        <f>IF($N37&gt;=1,"Completed",
 IF($N37=0,"Not Started",
 "In Progress"))</f>
        <v>Not Started</v>
      </c>
      <c r="P37" s="25" t="str">
        <f>IF($N37&gt;=1,
    IF($M37&gt;$K37,"Delayed","On Track"),
 IF(TODAY()&lt;$J37,
    "On Track",
 IF(AND($N37=0,TODAY()&gt;$K37),
    "Delayed",
 IF(AND($L37&lt;&gt;"",$L37&gt;$J37),
    "At Risk",
 IF(TODAY()&gt;$K37,
    "Delayed",
 "On Track")))))</f>
        <v>Delayed</v>
      </c>
      <c r="Q37" s="66" t="s">
        <v>38</v>
      </c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X37" s="36"/>
      <c r="BY37" s="36"/>
      <c r="BZ37" s="36"/>
      <c r="CA37" s="36"/>
      <c r="CB37" s="36"/>
      <c r="CC37" s="36"/>
      <c r="CD37" s="36"/>
    </row>
    <row r="38">
      <c r="A38" s="25" t="n">
        <v>31.0</v>
      </c>
      <c r="B38" s="26" t="s">
        <v>33</v>
      </c>
      <c r="C38" s="27" t="s">
        <v>81</v>
      </c>
      <c r="D38" s="28" t="s">
        <v>87</v>
      </c>
      <c r="E38" s="28" t="s">
        <v>94</v>
      </c>
      <c r="F38" s="29" t="s">
        <v>95</v>
      </c>
      <c r="G38" s="25" t="s">
        <v>38</v>
      </c>
      <c r="H38" s="30" t="n">
        <v>1.0</v>
      </c>
      <c r="I38" s="31" t="n">
        <v>46209.0</v>
      </c>
      <c r="J38" s="31" t="n">
        <f>WORKDAY(I38,ROUND(H38*5,0)-1)</f>
        <v>46213.0</v>
      </c>
      <c r="K38" s="31"/>
      <c r="L38" s="31"/>
      <c r="M38" s="32" t="str">
        <f>IF(OR(ISBLANK(K38),ISBLANK(L38)),"",NETWORKDAYS(K38,L38)/5)</f>
        <v/>
      </c>
      <c r="N38" s="33"/>
      <c r="O38" s="25" t="str">
        <f>IF($N38&gt;=1,"Completed",
 IF($N38=0,"Not Started",
 "In Progress"))</f>
        <v>Not Started</v>
      </c>
      <c r="P38" s="25" t="str">
        <f>IF($N38&gt;=1,
    IF($M38&gt;$K38,"Delayed","On Track"),
 IF(TODAY()&lt;$J38,
    "On Track",
 IF(AND($N38=0,TODAY()&gt;$K38),
    "Delayed",
 IF(AND($L38&lt;&gt;"",$L38&gt;$J38),
    "At Risk",
 IF(TODAY()&gt;$K38,
    "Delayed",
 "On Track")))))</f>
        <v>Delayed</v>
      </c>
      <c r="Q38" s="67" t="s">
        <v>38</v>
      </c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X38" s="36"/>
      <c r="BY38" s="36"/>
      <c r="BZ38" s="36"/>
      <c r="CA38" s="36"/>
      <c r="CB38" s="36"/>
      <c r="CC38" s="36"/>
      <c r="CD38" s="36"/>
    </row>
    <row r="39">
      <c r="A39" s="25" t="n">
        <v>32.0</v>
      </c>
      <c r="B39" s="26" t="s">
        <v>33</v>
      </c>
      <c r="C39" s="27" t="s">
        <v>81</v>
      </c>
      <c r="D39" s="28" t="s">
        <v>87</v>
      </c>
      <c r="E39" s="28" t="s">
        <v>96</v>
      </c>
      <c r="F39" s="29" t="s">
        <v>97</v>
      </c>
      <c r="G39" s="25" t="s">
        <v>38</v>
      </c>
      <c r="H39" s="30" t="n">
        <v>1.0</v>
      </c>
      <c r="I39" s="31" t="n">
        <v>46216.0</v>
      </c>
      <c r="J39" s="31" t="n">
        <f>WORKDAY(I39,ROUND(H39*5,0)-1)</f>
        <v>46220.0</v>
      </c>
      <c r="K39" s="31"/>
      <c r="L39" s="31"/>
      <c r="M39" s="32" t="str">
        <f>IF(OR(ISBLANK(K39),ISBLANK(L39)),"",NETWORKDAYS(K39,L39)/5)</f>
        <v/>
      </c>
      <c r="N39" s="33"/>
      <c r="O39" s="25" t="str">
        <f>IF($N39&gt;=1,"Completed",
 IF($N39=0,"Not Started",
 "In Progress"))</f>
        <v>Not Started</v>
      </c>
      <c r="P39" s="25" t="str">
        <f>IF($N39&gt;=1,
    IF($M39&gt;$K39,"Delayed","On Track"),
 IF(TODAY()&lt;$J39,
    "On Track",
 IF(AND($N39=0,TODAY()&gt;$K39),
    "Delayed",
 IF(AND($L39&lt;&gt;"",$L39&gt;$J39),
    "At Risk",
 IF(TODAY()&gt;$K39,
    "Delayed",
 "On Track")))))</f>
        <v>On Track</v>
      </c>
      <c r="Q39" s="68" t="s">
        <v>38</v>
      </c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X39" s="36"/>
      <c r="BY39" s="36"/>
      <c r="BZ39" s="36"/>
      <c r="CA39" s="36"/>
      <c r="CB39" s="36"/>
      <c r="CC39" s="36"/>
      <c r="CD39" s="36"/>
    </row>
    <row r="40">
      <c r="A40" s="25" t="n">
        <v>33.0</v>
      </c>
      <c r="B40" s="26" t="s">
        <v>33</v>
      </c>
      <c r="C40" s="27" t="s">
        <v>81</v>
      </c>
      <c r="D40" s="28" t="s">
        <v>98</v>
      </c>
      <c r="E40" s="28" t="s">
        <v>99</v>
      </c>
      <c r="F40" s="29" t="s">
        <v>100</v>
      </c>
      <c r="G40" s="25" t="s">
        <v>38</v>
      </c>
      <c r="H40" s="30" t="n">
        <v>1.0</v>
      </c>
      <c r="I40" s="31" t="n">
        <v>46216.0</v>
      </c>
      <c r="J40" s="31" t="n">
        <f>WORKDAY(I40,ROUND(H40*5,0)-1)</f>
        <v>46220.0</v>
      </c>
      <c r="K40" s="31"/>
      <c r="L40" s="31"/>
      <c r="M40" s="32" t="str">
        <f>IF(OR(ISBLANK(K40),ISBLANK(L40)),"",NETWORKDAYS(K40,L40)/5)</f>
        <v/>
      </c>
      <c r="N40" s="33"/>
      <c r="O40" s="25" t="str">
        <f>IF($N40&gt;=1,"Completed",
 IF($N40=0,"Not Started",
 "In Progress"))</f>
        <v>Not Started</v>
      </c>
      <c r="P40" s="25" t="str">
        <f>IF($N40&gt;=1,
    IF($M40&gt;$K40,"Delayed","On Track"),
 IF(TODAY()&lt;$J40,
    "On Track",
 IF(AND($N40=0,TODAY()&gt;$K40),
    "Delayed",
 IF(AND($L40&lt;&gt;"",$L40&gt;$J40),
    "At Risk",
 IF(TODAY()&gt;$K40,
    "Delayed",
 "On Track")))))</f>
        <v>On Track</v>
      </c>
      <c r="Q40" s="69" t="s">
        <v>38</v>
      </c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X40" s="36"/>
      <c r="BY40" s="36"/>
      <c r="BZ40" s="36"/>
      <c r="CA40" s="36"/>
      <c r="CB40" s="36"/>
      <c r="CC40" s="36"/>
      <c r="CD40" s="36"/>
    </row>
    <row r="41">
      <c r="A41" s="25" t="n">
        <v>34.0</v>
      </c>
      <c r="B41" s="26" t="s">
        <v>33</v>
      </c>
      <c r="C41" s="27" t="s">
        <v>81</v>
      </c>
      <c r="D41" s="28" t="s">
        <v>98</v>
      </c>
      <c r="E41" s="28" t="s">
        <v>101</v>
      </c>
      <c r="F41" s="29" t="s">
        <v>102</v>
      </c>
      <c r="G41" s="25" t="s">
        <v>38</v>
      </c>
      <c r="H41" s="30" t="n">
        <v>0.4</v>
      </c>
      <c r="I41" s="31" t="n">
        <v>46220.0</v>
      </c>
      <c r="J41" s="31" t="n">
        <f>WORKDAY(I41,ROUND(H41*5,0)-1)</f>
        <v>46223.0</v>
      </c>
      <c r="K41" s="31"/>
      <c r="L41" s="31"/>
      <c r="M41" s="32" t="str">
        <f>IF(OR(ISBLANK(K41),ISBLANK(L41)),"",NETWORKDAYS(K41,L41)/5)</f>
        <v/>
      </c>
      <c r="N41" s="33"/>
      <c r="O41" s="25" t="str">
        <f>IF($N41&gt;=1,"Completed",
 IF($N41=0,"Not Started",
 "In Progress"))</f>
        <v>Not Started</v>
      </c>
      <c r="P41" s="25" t="str">
        <f>IF($N41&gt;=1,
    IF($M41&gt;$K41,"Delayed","On Track"),
 IF(TODAY()&lt;$J41,
    "On Track",
 IF(AND($N41=0,TODAY()&gt;$K41),
    "Delayed",
 IF(AND($L41&lt;&gt;"",$L41&gt;$J41),
    "At Risk",
 IF(TODAY()&gt;$K41,
    "Delayed",
 "On Track")))))</f>
        <v>On Track</v>
      </c>
      <c r="Q41" s="70" t="s">
        <v>38</v>
      </c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X41" s="36"/>
      <c r="BY41" s="36"/>
      <c r="BZ41" s="36"/>
      <c r="CA41" s="36"/>
      <c r="CB41" s="36"/>
      <c r="CC41" s="36"/>
      <c r="CD41" s="36"/>
    </row>
    <row r="42">
      <c r="A42" s="25" t="n">
        <v>35.0</v>
      </c>
      <c r="B42" s="26" t="s">
        <v>33</v>
      </c>
      <c r="C42" s="27" t="s">
        <v>81</v>
      </c>
      <c r="D42" s="28" t="s">
        <v>103</v>
      </c>
      <c r="E42" s="28" t="s">
        <v>104</v>
      </c>
      <c r="F42" s="29" t="s">
        <v>105</v>
      </c>
      <c r="G42" s="25" t="s">
        <v>38</v>
      </c>
      <c r="H42" s="30" t="n">
        <v>0.4</v>
      </c>
      <c r="I42" s="31" t="n">
        <v>46224.0</v>
      </c>
      <c r="J42" s="31" t="n">
        <f>WORKDAY(I42,ROUND(H42*5,0)-1)</f>
        <v>46225.0</v>
      </c>
      <c r="K42" s="31"/>
      <c r="L42" s="31"/>
      <c r="M42" s="32" t="str">
        <f>IF(OR(ISBLANK(K42),ISBLANK(L42)),"",NETWORKDAYS(K42,L42)/5)</f>
        <v/>
      </c>
      <c r="N42" s="33"/>
      <c r="O42" s="25" t="str">
        <f>IF($N42&gt;=1,"Completed",
 IF($N42=0,"Not Started",
 "In Progress"))</f>
        <v>Not Started</v>
      </c>
      <c r="P42" s="25" t="str">
        <f>IF($N42&gt;=1,
    IF($M42&gt;$K42,"Delayed","On Track"),
 IF(TODAY()&lt;$J42,
    "On Track",
 IF(AND($N42=0,TODAY()&gt;$K42),
    "Delayed",
 IF(AND($L42&lt;&gt;"",$L42&gt;$J42),
    "At Risk",
 IF(TODAY()&gt;$K42,
    "Delayed",
 "On Track")))))</f>
        <v>On Track</v>
      </c>
      <c r="Q42" s="71" t="s">
        <v>38</v>
      </c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X42" s="36"/>
      <c r="BY42" s="36"/>
      <c r="BZ42" s="36"/>
      <c r="CA42" s="36"/>
      <c r="CB42" s="36"/>
      <c r="CC42" s="36"/>
      <c r="CD42" s="36"/>
    </row>
    <row r="43">
      <c r="A43" s="25" t="n">
        <v>36.0</v>
      </c>
      <c r="B43" s="26" t="s">
        <v>33</v>
      </c>
      <c r="C43" s="27" t="s">
        <v>106</v>
      </c>
      <c r="D43" s="28" t="s">
        <v>107</v>
      </c>
      <c r="E43" s="28" t="s">
        <v>108</v>
      </c>
      <c r="F43" s="29" t="s">
        <v>109</v>
      </c>
      <c r="G43" s="25" t="s">
        <v>38</v>
      </c>
      <c r="H43" s="30" t="n">
        <v>0.4</v>
      </c>
      <c r="I43" s="31" t="n">
        <v>46226.0</v>
      </c>
      <c r="J43" s="31" t="n">
        <f>WORKDAY(I43,ROUND(H43*5,0)-1)</f>
        <v>46227.0</v>
      </c>
      <c r="K43" s="31"/>
      <c r="L43" s="31"/>
      <c r="M43" s="32" t="str">
        <f>IF(OR(ISBLANK(K43),ISBLANK(L43)),"",NETWORKDAYS(K43,L43)/5)</f>
        <v/>
      </c>
      <c r="N43" s="33"/>
      <c r="O43" s="25" t="str">
        <f>IF($N43&gt;=1,"Completed",
 IF($N43=0,"Not Started",
 "In Progress"))</f>
        <v>Not Started</v>
      </c>
      <c r="P43" s="25" t="str">
        <f>IF($N43&gt;=1,
    IF($M43&gt;$K43,"Delayed","On Track"),
 IF(TODAY()&lt;$J43,
    "On Track",
 IF(AND($N43=0,TODAY()&gt;$K43),
    "Delayed",
 IF(AND($L43&lt;&gt;"",$L43&gt;$J43),
    "At Risk",
 IF(TODAY()&gt;$K43,
    "Delayed",
 "On Track")))))</f>
        <v>On Track</v>
      </c>
      <c r="Q43" s="72" t="s">
        <v>38</v>
      </c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X43" s="36"/>
      <c r="BY43" s="36"/>
      <c r="BZ43" s="36"/>
      <c r="CA43" s="36"/>
      <c r="CB43" s="36"/>
      <c r="CC43" s="36"/>
      <c r="CD43" s="36"/>
    </row>
    <row r="44">
      <c r="A44" s="25" t="n">
        <v>37.0</v>
      </c>
      <c r="B44" s="26" t="s">
        <v>33</v>
      </c>
      <c r="C44" s="27" t="s">
        <v>106</v>
      </c>
      <c r="D44" s="28" t="s">
        <v>107</v>
      </c>
      <c r="E44" s="28" t="s">
        <v>108</v>
      </c>
      <c r="F44" s="29" t="s">
        <v>110</v>
      </c>
      <c r="G44" s="25" t="s">
        <v>38</v>
      </c>
      <c r="H44" s="30" t="n">
        <v>0.4</v>
      </c>
      <c r="I44" s="31" t="n">
        <v>46230.0</v>
      </c>
      <c r="J44" s="31" t="n">
        <f>WORKDAY(I44,ROUND(H44*5,0)-1)</f>
        <v>46231.0</v>
      </c>
      <c r="K44" s="31"/>
      <c r="L44" s="31"/>
      <c r="M44" s="32" t="str">
        <f>IF(OR(ISBLANK(K44),ISBLANK(L44)),"",NETWORKDAYS(K44,L44)/5)</f>
        <v/>
      </c>
      <c r="N44" s="33"/>
      <c r="O44" s="25" t="str">
        <f>IF($N44&gt;=1,"Completed",
 IF($N44=0,"Not Started",
 "In Progress"))</f>
        <v>Not Started</v>
      </c>
      <c r="P44" s="25" t="str">
        <f>IF($N44&gt;=1,
    IF($M44&gt;$K44,"Delayed","On Track"),
 IF(TODAY()&lt;$J44,
    "On Track",
 IF(AND($N44=0,TODAY()&gt;$K44),
    "Delayed",
 IF(AND($L44&lt;&gt;"",$L44&gt;$J44),
    "At Risk",
 IF(TODAY()&gt;$K44,
    "Delayed",
 "On Track")))))</f>
        <v>On Track</v>
      </c>
      <c r="Q44" s="73" t="s">
        <v>38</v>
      </c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X44" s="36"/>
      <c r="BY44" s="36"/>
      <c r="BZ44" s="36"/>
      <c r="CA44" s="36"/>
      <c r="CB44" s="36"/>
      <c r="CC44" s="36"/>
      <c r="CD44" s="36"/>
    </row>
    <row r="45">
      <c r="A45" s="25" t="n">
        <v>38.0</v>
      </c>
      <c r="B45" s="26" t="s">
        <v>33</v>
      </c>
      <c r="C45" s="27" t="s">
        <v>106</v>
      </c>
      <c r="D45" s="28" t="s">
        <v>111</v>
      </c>
      <c r="E45" s="28" t="s">
        <v>112</v>
      </c>
      <c r="F45" s="29" t="s">
        <v>113</v>
      </c>
      <c r="G45" s="25" t="s">
        <v>38</v>
      </c>
      <c r="H45" s="30" t="n">
        <v>0.8</v>
      </c>
      <c r="I45" s="31" t="n">
        <v>46232.0</v>
      </c>
      <c r="J45" s="31" t="n">
        <f>WORKDAY(I45,ROUND(H45*5,0)-1)</f>
        <v>46237.0</v>
      </c>
      <c r="K45" s="31"/>
      <c r="L45" s="31"/>
      <c r="M45" s="32" t="str">
        <f>IF(OR(ISBLANK(K45),ISBLANK(L45)),"",NETWORKDAYS(K45,L45)/5)</f>
        <v/>
      </c>
      <c r="N45" s="33"/>
      <c r="O45" s="25" t="str">
        <f>IF($N45&gt;=1,"Completed",
 IF($N45=0,"Not Started",
 "In Progress"))</f>
        <v>Not Started</v>
      </c>
      <c r="P45" s="25" t="str">
        <f>IF($N45&gt;=1,
    IF($M45&gt;$K45,"Delayed","On Track"),
 IF(TODAY()&lt;$J45,
    "On Track",
 IF(AND($N45=0,TODAY()&gt;$K45),
    "Delayed",
 IF(AND($L45&lt;&gt;"",$L45&gt;$J45),
    "At Risk",
 IF(TODAY()&gt;$K45,
    "Delayed",
 "On Track")))))</f>
        <v>On Track</v>
      </c>
      <c r="Q45" s="74" t="s">
        <v>38</v>
      </c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X45" s="36"/>
      <c r="BY45" s="36"/>
      <c r="BZ45" s="36"/>
      <c r="CA45" s="36"/>
      <c r="CB45" s="36"/>
      <c r="CC45" s="36"/>
      <c r="CD45" s="36"/>
    </row>
    <row r="46">
      <c r="A46" s="25" t="n">
        <v>39.0</v>
      </c>
      <c r="B46" s="26" t="s">
        <v>33</v>
      </c>
      <c r="C46" s="27" t="s">
        <v>106</v>
      </c>
      <c r="D46" s="28" t="s">
        <v>114</v>
      </c>
      <c r="E46" s="28" t="s">
        <v>115</v>
      </c>
      <c r="F46" s="29" t="s">
        <v>116</v>
      </c>
      <c r="G46" s="25" t="s">
        <v>38</v>
      </c>
      <c r="H46" s="30" t="n">
        <v>0.2</v>
      </c>
      <c r="I46" s="31" t="n">
        <v>46238.0</v>
      </c>
      <c r="J46" s="31" t="n">
        <f>WORKDAY(I46,ROUND(H46*5,0)-1)</f>
        <v>46238.0</v>
      </c>
      <c r="K46" s="31"/>
      <c r="L46" s="31"/>
      <c r="M46" s="32" t="str">
        <f>IF(OR(ISBLANK(K46),ISBLANK(L46)),"",NETWORKDAYS(K46,L46)/5)</f>
        <v/>
      </c>
      <c r="N46" s="33"/>
      <c r="O46" s="25" t="str">
        <f>IF($N46&gt;=1,"Completed",
 IF($N46=0,"Not Started",
 "In Progress"))</f>
        <v>Not Started</v>
      </c>
      <c r="P46" s="25" t="str">
        <f>IF($N46&gt;=1,
    IF($M46&gt;$K46,"Delayed","On Track"),
 IF(TODAY()&lt;$J46,
    "On Track",
 IF(AND($N46=0,TODAY()&gt;$K46),
    "Delayed",
 IF(AND($L46&lt;&gt;"",$L46&gt;$J46),
    "At Risk",
 IF(TODAY()&gt;$K46,
    "Delayed",
 "On Track")))))</f>
        <v>On Track</v>
      </c>
      <c r="Q46" s="75" t="s">
        <v>38</v>
      </c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X46" s="36"/>
      <c r="BY46" s="36"/>
      <c r="BZ46" s="36"/>
      <c r="CA46" s="36"/>
      <c r="CB46" s="36"/>
      <c r="CC46" s="36"/>
      <c r="CD46" s="36"/>
    </row>
    <row r="47">
      <c r="A47" s="25" t="n">
        <v>40.0</v>
      </c>
      <c r="B47" s="26" t="s">
        <v>33</v>
      </c>
      <c r="C47" s="27" t="s">
        <v>106</v>
      </c>
      <c r="D47" s="28" t="s">
        <v>117</v>
      </c>
      <c r="E47" s="28" t="s">
        <v>118</v>
      </c>
      <c r="F47" s="29" t="s">
        <v>119</v>
      </c>
      <c r="G47" s="25" t="s">
        <v>38</v>
      </c>
      <c r="H47" s="30" t="n">
        <v>0.6</v>
      </c>
      <c r="I47" s="31" t="n">
        <v>46239.0</v>
      </c>
      <c r="J47" s="31" t="n">
        <f>WORKDAY(I47,ROUND(H47*5,0)-1)</f>
        <v>46241.0</v>
      </c>
      <c r="K47" s="31"/>
      <c r="L47" s="31"/>
      <c r="M47" s="32" t="str">
        <f>IF(OR(ISBLANK(K47),ISBLANK(L47)),"",NETWORKDAYS(K47,L47)/5)</f>
        <v/>
      </c>
      <c r="N47" s="33"/>
      <c r="O47" s="25" t="str">
        <f>IF($N47&gt;=1,"Completed",
 IF($N47=0,"Not Started",
 "In Progress"))</f>
        <v>Not Started</v>
      </c>
      <c r="P47" s="25" t="str">
        <f>IF($N47&gt;=1,
    IF($M47&gt;$K47,"Delayed","On Track"),
 IF(TODAY()&lt;$J47,
    "On Track",
 IF(AND($N47=0,TODAY()&gt;$K47),
    "Delayed",
 IF(AND($L47&lt;&gt;"",$L47&gt;$J47),
    "At Risk",
 IF(TODAY()&gt;$K47,
    "Delayed",
 "On Track")))))</f>
        <v>On Track</v>
      </c>
      <c r="Q47" s="76" t="s">
        <v>38</v>
      </c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X47" s="36"/>
      <c r="BY47" s="36"/>
      <c r="BZ47" s="36"/>
      <c r="CA47" s="36"/>
      <c r="CB47" s="36"/>
      <c r="CC47" s="36"/>
      <c r="CD47" s="36"/>
    </row>
    <row r="48">
      <c r="A48" s="25" t="n">
        <v>41.0</v>
      </c>
      <c r="B48" s="26" t="s">
        <v>33</v>
      </c>
      <c r="C48" s="27" t="s">
        <v>106</v>
      </c>
      <c r="D48" s="28" t="s">
        <v>117</v>
      </c>
      <c r="E48" s="28" t="s">
        <v>120</v>
      </c>
      <c r="F48" s="29" t="s">
        <v>121</v>
      </c>
      <c r="G48" s="25" t="s">
        <v>38</v>
      </c>
      <c r="H48" s="30" t="n">
        <v>0.6</v>
      </c>
      <c r="I48" s="31" t="n">
        <v>46239.0</v>
      </c>
      <c r="J48" s="31" t="n">
        <f>WORKDAY(I48,ROUND(H48*5,0)-1)</f>
        <v>46241.0</v>
      </c>
      <c r="K48" s="31"/>
      <c r="L48" s="31"/>
      <c r="M48" s="32" t="str">
        <f>IF(OR(ISBLANK(K48),ISBLANK(L48)),"",NETWORKDAYS(K48,L48)/5)</f>
        <v/>
      </c>
      <c r="N48" s="33"/>
      <c r="O48" s="25" t="str">
        <f>IF($N48&gt;=1,"Completed",
 IF($N48=0,"Not Started",
 "In Progress"))</f>
        <v>Not Started</v>
      </c>
      <c r="P48" s="25" t="str">
        <f>IF($N48&gt;=1,
    IF($M48&gt;$K48,"Delayed","On Track"),
 IF(TODAY()&lt;$J48,
    "On Track",
 IF(AND($N48=0,TODAY()&gt;$K48),
    "Delayed",
 IF(AND($L48&lt;&gt;"",$L48&gt;$J48),
    "At Risk",
 IF(TODAY()&gt;$K48,
    "Delayed",
 "On Track")))))</f>
        <v>On Track</v>
      </c>
      <c r="Q48" s="77" t="s">
        <v>38</v>
      </c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X48" s="36"/>
      <c r="BY48" s="36"/>
      <c r="BZ48" s="36"/>
      <c r="CA48" s="36"/>
      <c r="CB48" s="36"/>
      <c r="CC48" s="36"/>
      <c r="CD48" s="36"/>
    </row>
    <row r="49">
      <c r="A49" s="25" t="n">
        <v>42.0</v>
      </c>
      <c r="B49" s="26" t="s">
        <v>33</v>
      </c>
      <c r="C49" s="27" t="s">
        <v>106</v>
      </c>
      <c r="D49" s="28" t="s">
        <v>117</v>
      </c>
      <c r="E49" s="28" t="s">
        <v>122</v>
      </c>
      <c r="F49" s="29" t="s">
        <v>97</v>
      </c>
      <c r="G49" s="25" t="s">
        <v>38</v>
      </c>
      <c r="H49" s="30" t="n">
        <v>0.6</v>
      </c>
      <c r="I49" s="31" t="n">
        <v>46239.0</v>
      </c>
      <c r="J49" s="31" t="n">
        <f>WORKDAY(I49,ROUND(H49*5,0)-1)</f>
        <v>46241.0</v>
      </c>
      <c r="K49" s="31"/>
      <c r="L49" s="31"/>
      <c r="M49" s="32" t="str">
        <f>IF(OR(ISBLANK(K49),ISBLANK(L49)),"",NETWORKDAYS(K49,L49)/5)</f>
        <v/>
      </c>
      <c r="N49" s="33"/>
      <c r="O49" s="25" t="str">
        <f>IF($N49&gt;=1,"Completed",
 IF($N49=0,"Not Started",
 "In Progress"))</f>
        <v>Not Started</v>
      </c>
      <c r="P49" s="25" t="str">
        <f>IF($N49&gt;=1,
    IF($M49&gt;$K49,"Delayed","On Track"),
 IF(TODAY()&lt;$J49,
    "On Track",
 IF(AND($N49=0,TODAY()&gt;$K49),
    "Delayed",
 IF(AND($L49&lt;&gt;"",$L49&gt;$J49),
    "At Risk",
 IF(TODAY()&gt;$K49,
    "Delayed",
 "On Track")))))</f>
        <v>On Track</v>
      </c>
      <c r="Q49" s="78" t="s">
        <v>38</v>
      </c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X49" s="36"/>
      <c r="BY49" s="36"/>
      <c r="BZ49" s="36"/>
      <c r="CA49" s="36"/>
      <c r="CB49" s="36"/>
      <c r="CC49" s="36"/>
      <c r="CD49" s="36"/>
    </row>
    <row r="50">
      <c r="A50" s="25" t="n">
        <v>43.0</v>
      </c>
      <c r="B50" s="26" t="s">
        <v>33</v>
      </c>
      <c r="C50" s="27" t="s">
        <v>106</v>
      </c>
      <c r="D50" s="28" t="s">
        <v>117</v>
      </c>
      <c r="E50" s="28" t="s">
        <v>123</v>
      </c>
      <c r="F50" s="29" t="s">
        <v>124</v>
      </c>
      <c r="G50" s="25" t="s">
        <v>38</v>
      </c>
      <c r="H50" s="30" t="n">
        <v>0.2</v>
      </c>
      <c r="I50" s="31" t="n">
        <v>46244.0</v>
      </c>
      <c r="J50" s="31" t="n">
        <f>WORKDAY(I50,ROUND(H50*5,0)-1)</f>
        <v>46244.0</v>
      </c>
      <c r="K50" s="31"/>
      <c r="L50" s="31"/>
      <c r="M50" s="32" t="str">
        <f>IF(OR(ISBLANK(K50),ISBLANK(L50)),"",NETWORKDAYS(K50,L50)/5)</f>
        <v/>
      </c>
      <c r="N50" s="33"/>
      <c r="O50" s="25" t="str">
        <f>IF($N50&gt;=1,"Completed",
 IF($N50=0,"Not Started",
 "In Progress"))</f>
        <v>Not Started</v>
      </c>
      <c r="P50" s="25" t="str">
        <f>IF($N50&gt;=1,
    IF($M50&gt;$K50,"Delayed","On Track"),
 IF(TODAY()&lt;$J50,
    "On Track",
 IF(AND($N50=0,TODAY()&gt;$K50),
    "Delayed",
 IF(AND($L50&lt;&gt;"",$L50&gt;$J50),
    "At Risk",
 IF(TODAY()&gt;$K50,
    "Delayed",
 "On Track")))))</f>
        <v>On Track</v>
      </c>
      <c r="Q50" s="79" t="s">
        <v>38</v>
      </c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X50" s="36"/>
      <c r="BY50" s="36"/>
      <c r="BZ50" s="36"/>
      <c r="CA50" s="36"/>
      <c r="CB50" s="36"/>
      <c r="CC50" s="36"/>
      <c r="CD50" s="36"/>
    </row>
    <row r="51">
      <c r="A51" s="25" t="n">
        <v>44.0</v>
      </c>
      <c r="B51" s="26" t="s">
        <v>33</v>
      </c>
      <c r="C51" s="27" t="s">
        <v>106</v>
      </c>
      <c r="D51" s="28" t="s">
        <v>125</v>
      </c>
      <c r="E51" s="28" t="s">
        <v>126</v>
      </c>
      <c r="F51" s="29" t="s">
        <v>127</v>
      </c>
      <c r="G51" s="25" t="s">
        <v>38</v>
      </c>
      <c r="H51" s="30" t="n">
        <v>0.4</v>
      </c>
      <c r="I51" s="31" t="n">
        <v>46244.0</v>
      </c>
      <c r="J51" s="31" t="n">
        <f>WORKDAY(I51,ROUND(H51*5,0)-1)</f>
        <v>46245.0</v>
      </c>
      <c r="K51" s="31"/>
      <c r="L51" s="31"/>
      <c r="M51" s="32" t="str">
        <f>IF(OR(ISBLANK(K51),ISBLANK(L51)),"",NETWORKDAYS(K51,L51)/5)</f>
        <v/>
      </c>
      <c r="N51" s="33"/>
      <c r="O51" s="25" t="str">
        <f>IF($N51&gt;=1,"Completed",
 IF($N51=0,"Not Started",
 "In Progress"))</f>
        <v>Not Started</v>
      </c>
      <c r="P51" s="25" t="str">
        <f>IF($N51&gt;=1,
    IF($M51&gt;$K51,"Delayed","On Track"),
 IF(TODAY()&lt;$J51,
    "On Track",
 IF(AND($N51=0,TODAY()&gt;$K51),
    "Delayed",
 IF(AND($L51&lt;&gt;"",$L51&gt;$J51),
    "At Risk",
 IF(TODAY()&gt;$K51,
    "Delayed",
 "On Track")))))</f>
        <v>On Track</v>
      </c>
      <c r="Q51" s="80" t="s">
        <v>38</v>
      </c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X51" s="36"/>
      <c r="BY51" s="36"/>
      <c r="BZ51" s="36"/>
      <c r="CA51" s="36"/>
      <c r="CB51" s="36"/>
      <c r="CC51" s="36"/>
      <c r="CD51" s="36"/>
    </row>
    <row r="52">
      <c r="A52" s="25" t="n">
        <v>45.0</v>
      </c>
      <c r="B52" s="26" t="s">
        <v>33</v>
      </c>
      <c r="C52" s="27" t="s">
        <v>106</v>
      </c>
      <c r="D52" s="28" t="s">
        <v>128</v>
      </c>
      <c r="E52" s="28" t="s">
        <v>129</v>
      </c>
      <c r="F52" s="29" t="s">
        <v>130</v>
      </c>
      <c r="G52" s="25" t="s">
        <v>38</v>
      </c>
      <c r="H52" s="30" t="n">
        <v>0.4</v>
      </c>
      <c r="I52" s="31" t="n">
        <v>46246.0</v>
      </c>
      <c r="J52" s="31" t="n">
        <f>WORKDAY(I52,ROUND(H52*5,0)-1)</f>
        <v>46247.0</v>
      </c>
      <c r="K52" s="31"/>
      <c r="L52" s="31"/>
      <c r="M52" s="32" t="str">
        <f>IF(OR(ISBLANK(K52),ISBLANK(L52)),"",NETWORKDAYS(K52,L52)/5)</f>
        <v/>
      </c>
      <c r="N52" s="33"/>
      <c r="O52" s="25" t="str">
        <f>IF($N52&gt;=1,"Completed",
 IF($N52=0,"Not Started",
 "In Progress"))</f>
        <v>Not Started</v>
      </c>
      <c r="P52" s="25" t="str">
        <f>IF($N52&gt;=1,
    IF($M52&gt;$K52,"Delayed","On Track"),
 IF(TODAY()&lt;$J52,
    "On Track",
 IF(AND($N52=0,TODAY()&gt;$K52),
    "Delayed",
 IF(AND($L52&lt;&gt;"",$L52&gt;$J52),
    "At Risk",
 IF(TODAY()&gt;$K52,
    "Delayed",
 "On Track")))))</f>
        <v>On Track</v>
      </c>
      <c r="Q52" s="81" t="s">
        <v>38</v>
      </c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X52" s="36"/>
      <c r="BY52" s="36"/>
      <c r="BZ52" s="36"/>
      <c r="CA52" s="36"/>
      <c r="CB52" s="36"/>
      <c r="CC52" s="36"/>
      <c r="CD52" s="36"/>
    </row>
    <row r="53">
      <c r="A53" s="25" t="n">
        <v>46.0</v>
      </c>
      <c r="B53" s="26" t="s">
        <v>33</v>
      </c>
      <c r="C53" s="27" t="s">
        <v>131</v>
      </c>
      <c r="D53" s="28" t="s">
        <v>132</v>
      </c>
      <c r="E53" s="28" t="s">
        <v>133</v>
      </c>
      <c r="F53" s="29" t="s">
        <v>134</v>
      </c>
      <c r="G53" s="25" t="s">
        <v>38</v>
      </c>
      <c r="H53" s="30" t="n">
        <v>3.0</v>
      </c>
      <c r="I53" s="31" t="n">
        <v>46225.0</v>
      </c>
      <c r="J53" s="31" t="n">
        <f>WORKDAY(I53,ROUND(H53*5,0)-1)</f>
        <v>46245.0</v>
      </c>
      <c r="K53" s="31"/>
      <c r="L53" s="31"/>
      <c r="M53" s="32" t="str">
        <f>IF(OR(ISBLANK(K53),ISBLANK(L53)),"",NETWORKDAYS(K53,L53)/5)</f>
        <v/>
      </c>
      <c r="N53" s="33"/>
      <c r="O53" s="25" t="str">
        <f>IF($N53&gt;=1,"Completed",
 IF($N53=0,"Not Started",
 "In Progress"))</f>
        <v>Not Started</v>
      </c>
      <c r="P53" s="25" t="str">
        <f>IF($N53&gt;=1,
    IF($M53&gt;$K53,"Delayed","On Track"),
 IF(TODAY()&lt;$J53,
    "On Track",
 IF(AND($N53=0,TODAY()&gt;$K53),
    "Delayed",
 IF(AND($L53&lt;&gt;"",$L53&gt;$J53),
    "At Risk",
 IF(TODAY()&gt;$K53,
    "Delayed",
 "On Track")))))</f>
        <v>On Track</v>
      </c>
      <c r="Q53" s="82" t="s">
        <v>38</v>
      </c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X53" s="36"/>
      <c r="BY53" s="36"/>
      <c r="BZ53" s="36"/>
      <c r="CA53" s="36"/>
      <c r="CB53" s="36"/>
      <c r="CC53" s="36"/>
      <c r="CD53" s="36"/>
    </row>
    <row r="54">
      <c r="A54" s="25" t="n">
        <v>47.0</v>
      </c>
      <c r="B54" s="26" t="s">
        <v>33</v>
      </c>
      <c r="C54" s="27" t="s">
        <v>131</v>
      </c>
      <c r="D54" s="28" t="s">
        <v>135</v>
      </c>
      <c r="E54" s="28" t="s">
        <v>136</v>
      </c>
      <c r="F54" s="29" t="s">
        <v>137</v>
      </c>
      <c r="G54" s="25" t="s">
        <v>38</v>
      </c>
      <c r="H54" s="30" t="n">
        <v>1.0</v>
      </c>
      <c r="I54" s="31" t="n">
        <v>46248.0</v>
      </c>
      <c r="J54" s="31" t="n">
        <f>WORKDAY(I54,ROUND(H54*5,0)-1)</f>
        <v>46254.0</v>
      </c>
      <c r="K54" s="31"/>
      <c r="L54" s="31"/>
      <c r="M54" s="32" t="str">
        <f>IF(OR(ISBLANK(K54),ISBLANK(L54)),"",NETWORKDAYS(K54,L54)/5)</f>
        <v/>
      </c>
      <c r="N54" s="33"/>
      <c r="O54" s="25" t="str">
        <f>IF($N54&gt;=1,"Completed",
 IF($N54=0,"Not Started",
 "In Progress"))</f>
        <v>Not Started</v>
      </c>
      <c r="P54" s="25" t="str">
        <f>IF($N54&gt;=1,
    IF($M54&gt;$K54,"Delayed","On Track"),
 IF(TODAY()&lt;$J54,
    "On Track",
 IF(AND($N54=0,TODAY()&gt;$K54),
    "Delayed",
 IF(AND($L54&lt;&gt;"",$L54&gt;$J54),
    "At Risk",
 IF(TODAY()&gt;$K54,
    "Delayed",
 "On Track")))))</f>
        <v>On Track</v>
      </c>
      <c r="Q54" s="83" t="s">
        <v>38</v>
      </c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X54" s="36"/>
      <c r="BY54" s="36"/>
      <c r="BZ54" s="36"/>
      <c r="CA54" s="36"/>
      <c r="CB54" s="36"/>
      <c r="CC54" s="36"/>
      <c r="CD54" s="36"/>
    </row>
    <row r="55">
      <c r="A55" s="25" t="n">
        <v>48.0</v>
      </c>
      <c r="B55" s="26" t="s">
        <v>33</v>
      </c>
      <c r="C55" s="27" t="s">
        <v>131</v>
      </c>
      <c r="D55" s="28" t="s">
        <v>135</v>
      </c>
      <c r="E55" s="28" t="s">
        <v>138</v>
      </c>
      <c r="F55" s="29" t="s">
        <v>91</v>
      </c>
      <c r="G55" s="25" t="s">
        <v>38</v>
      </c>
      <c r="H55" s="30" t="n">
        <v>2.0</v>
      </c>
      <c r="I55" s="31" t="n">
        <v>46248.0</v>
      </c>
      <c r="J55" s="31" t="n">
        <f>WORKDAY(I55,ROUND(H55*5,0)-1)</f>
        <v>46261.0</v>
      </c>
      <c r="K55" s="31"/>
      <c r="L55" s="31"/>
      <c r="M55" s="32" t="str">
        <f>IF(OR(ISBLANK(K55),ISBLANK(L55)),"",NETWORKDAYS(K55,L55)/5)</f>
        <v/>
      </c>
      <c r="N55" s="33"/>
      <c r="O55" s="25" t="str">
        <f>IF($N55&gt;=1,"Completed",
 IF($N55=0,"Not Started",
 "In Progress"))</f>
        <v>Not Started</v>
      </c>
      <c r="P55" s="25" t="str">
        <f>IF($N55&gt;=1,
    IF($M55&gt;$K55,"Delayed","On Track"),
 IF(TODAY()&lt;$J55,
    "On Track",
 IF(AND($N55=0,TODAY()&gt;$K55),
    "Delayed",
 IF(AND($L55&lt;&gt;"",$L55&gt;$J55),
    "At Risk",
 IF(TODAY()&gt;$K55,
    "Delayed",
 "On Track")))))</f>
        <v>On Track</v>
      </c>
      <c r="Q55" s="84" t="s">
        <v>38</v>
      </c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X55" s="36"/>
      <c r="BY55" s="36"/>
      <c r="BZ55" s="36"/>
      <c r="CA55" s="36"/>
      <c r="CB55" s="36"/>
      <c r="CC55" s="36"/>
      <c r="CD55" s="36"/>
    </row>
    <row r="56">
      <c r="A56" s="25" t="n">
        <v>49.0</v>
      </c>
      <c r="B56" s="26" t="s">
        <v>33</v>
      </c>
      <c r="C56" s="27" t="s">
        <v>131</v>
      </c>
      <c r="D56" s="28" t="s">
        <v>135</v>
      </c>
      <c r="E56" s="28" t="s">
        <v>139</v>
      </c>
      <c r="F56" s="29" t="s">
        <v>140</v>
      </c>
      <c r="G56" s="25" t="s">
        <v>38</v>
      </c>
      <c r="H56" s="30" t="n">
        <v>4.0</v>
      </c>
      <c r="I56" s="31" t="n">
        <v>46242.0</v>
      </c>
      <c r="J56" s="31" t="n">
        <f>WORKDAY(I56,ROUND(H56*5,0)-1)</f>
        <v>46268.0</v>
      </c>
      <c r="K56" s="31"/>
      <c r="L56" s="31"/>
      <c r="M56" s="32" t="str">
        <f>IF(OR(ISBLANK(K56),ISBLANK(L56)),"",NETWORKDAYS(K56,L56)/5)</f>
        <v/>
      </c>
      <c r="N56" s="33"/>
      <c r="O56" s="25" t="str">
        <f>IF($N56&gt;=1,"Completed",
 IF($N56=0,"Not Started",
 "In Progress"))</f>
        <v>Not Started</v>
      </c>
      <c r="P56" s="25" t="str">
        <f>IF($N56&gt;=1,
    IF($M56&gt;$K56,"Delayed","On Track"),
 IF(TODAY()&lt;$J56,
    "On Track",
 IF(AND($N56=0,TODAY()&gt;$K56),
    "Delayed",
 IF(AND($L56&lt;&gt;"",$L56&gt;$J56),
    "At Risk",
 IF(TODAY()&gt;$K56,
    "Delayed",
 "On Track")))))</f>
        <v>On Track</v>
      </c>
      <c r="Q56" s="85" t="s">
        <v>38</v>
      </c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X56" s="36"/>
      <c r="BY56" s="36"/>
      <c r="BZ56" s="36"/>
      <c r="CA56" s="36"/>
      <c r="CB56" s="36"/>
      <c r="CC56" s="36"/>
      <c r="CD56" s="36"/>
    </row>
    <row r="57">
      <c r="A57" s="25" t="n">
        <v>50.0</v>
      </c>
      <c r="B57" s="26" t="s">
        <v>33</v>
      </c>
      <c r="C57" s="27" t="s">
        <v>131</v>
      </c>
      <c r="D57" s="28" t="s">
        <v>135</v>
      </c>
      <c r="E57" s="28" t="s">
        <v>141</v>
      </c>
      <c r="F57" s="29" t="s">
        <v>93</v>
      </c>
      <c r="G57" s="25" t="s">
        <v>38</v>
      </c>
      <c r="H57" s="30" t="n">
        <v>1.0</v>
      </c>
      <c r="I57" s="31" t="n">
        <v>46242.0</v>
      </c>
      <c r="J57" s="31" t="n">
        <f>WORKDAY(I57,ROUND(H57*5,0)-1)</f>
        <v>46247.0</v>
      </c>
      <c r="K57" s="31"/>
      <c r="L57" s="31"/>
      <c r="M57" s="32" t="str">
        <f>IF(OR(ISBLANK(K57),ISBLANK(L57)),"",NETWORKDAYS(K57,L57)/5)</f>
        <v/>
      </c>
      <c r="N57" s="33"/>
      <c r="O57" s="25" t="str">
        <f>IF($N57&gt;=1,"Completed",
 IF($N57=0,"Not Started",
 "In Progress"))</f>
        <v>Not Started</v>
      </c>
      <c r="P57" s="25" t="str">
        <f>IF($N57&gt;=1,
    IF($M57&gt;$K57,"Delayed","On Track"),
 IF(TODAY()&lt;$J57,
    "On Track",
 IF(AND($N57=0,TODAY()&gt;$K57),
    "Delayed",
 IF(AND($L57&lt;&gt;"",$L57&gt;$J57),
    "At Risk",
 IF(TODAY()&gt;$K57,
    "Delayed",
 "On Track")))))</f>
        <v>On Track</v>
      </c>
      <c r="Q57" s="86" t="s">
        <v>38</v>
      </c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X57" s="36"/>
      <c r="BY57" s="36"/>
      <c r="BZ57" s="36"/>
      <c r="CA57" s="36"/>
      <c r="CB57" s="36"/>
      <c r="CC57" s="36"/>
      <c r="CD57" s="36"/>
    </row>
    <row r="58">
      <c r="A58" s="25" t="n">
        <v>51.0</v>
      </c>
      <c r="B58" s="26" t="s">
        <v>33</v>
      </c>
      <c r="C58" s="27" t="s">
        <v>131</v>
      </c>
      <c r="D58" s="28" t="s">
        <v>142</v>
      </c>
      <c r="E58" s="28" t="s">
        <v>143</v>
      </c>
      <c r="F58" s="29" t="s">
        <v>144</v>
      </c>
      <c r="G58" s="25" t="s">
        <v>38</v>
      </c>
      <c r="H58" s="30" t="n">
        <v>0.4</v>
      </c>
      <c r="I58" s="31" t="n">
        <v>46248.0</v>
      </c>
      <c r="J58" s="31" t="n">
        <f>WORKDAY(I58,ROUND(H58*5,0)-1)</f>
        <v>46251.0</v>
      </c>
      <c r="K58" s="31"/>
      <c r="L58" s="31"/>
      <c r="M58" s="32" t="str">
        <f>IF(OR(ISBLANK(K58),ISBLANK(L58)),"",NETWORKDAYS(K58,L58)/5)</f>
        <v/>
      </c>
      <c r="N58" s="33"/>
      <c r="O58" s="25" t="str">
        <f>IF($N58&gt;=1,"Completed",
 IF($N58=0,"Not Started",
 "In Progress"))</f>
        <v>Not Started</v>
      </c>
      <c r="P58" s="25" t="str">
        <f>IF($N58&gt;=1,
    IF($M58&gt;$K58,"Delayed","On Track"),
 IF(TODAY()&lt;$J58,
    "On Track",
 IF(AND($N58=0,TODAY()&gt;$K58),
    "Delayed",
 IF(AND($L58&lt;&gt;"",$L58&gt;$J58),
    "At Risk",
 IF(TODAY()&gt;$K58,
    "Delayed",
 "On Track")))))</f>
        <v>On Track</v>
      </c>
      <c r="Q58" s="87" t="s">
        <v>38</v>
      </c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X58" s="36"/>
      <c r="BY58" s="36"/>
      <c r="BZ58" s="36"/>
      <c r="CA58" s="36"/>
      <c r="CB58" s="36"/>
      <c r="CC58" s="36"/>
      <c r="CD58" s="36"/>
    </row>
    <row r="59">
      <c r="A59" s="25" t="n">
        <v>52.0</v>
      </c>
      <c r="B59" s="26" t="s">
        <v>33</v>
      </c>
      <c r="C59" s="27" t="s">
        <v>145</v>
      </c>
      <c r="D59" s="28" t="s">
        <v>146</v>
      </c>
      <c r="E59" s="28" t="s">
        <v>147</v>
      </c>
      <c r="F59" s="29" t="s">
        <v>148</v>
      </c>
      <c r="G59" s="25" t="s">
        <v>38</v>
      </c>
      <c r="H59" s="30" t="n">
        <v>0.6</v>
      </c>
      <c r="I59" s="31" t="n">
        <v>46242.0</v>
      </c>
      <c r="J59" s="31" t="n">
        <f>WORKDAY(I59,ROUND(H59*5,0)-1)</f>
        <v>46245.0</v>
      </c>
      <c r="K59" s="31"/>
      <c r="L59" s="31"/>
      <c r="M59" s="32" t="str">
        <f>IF(OR(ISBLANK(K59),ISBLANK(L59)),"",NETWORKDAYS(K59,L59)/5)</f>
        <v/>
      </c>
      <c r="N59" s="33"/>
      <c r="O59" s="25" t="str">
        <f>IF($N59&gt;=1,"Completed",
 IF($N59=0,"Not Started",
 "In Progress"))</f>
        <v>Not Started</v>
      </c>
      <c r="P59" s="25" t="str">
        <f>IF($N59&gt;=1,
    IF($M59&gt;$K59,"Delayed","On Track"),
 IF(TODAY()&lt;$J59,
    "On Track",
 IF(AND($N59=0,TODAY()&gt;$K59),
    "Delayed",
 IF(AND($L59&lt;&gt;"",$L59&gt;$J59),
    "At Risk",
 IF(TODAY()&gt;$K59,
    "Delayed",
 "On Track")))))</f>
        <v>On Track</v>
      </c>
      <c r="Q59" s="88" t="s">
        <v>38</v>
      </c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X59" s="36"/>
      <c r="BY59" s="36"/>
      <c r="BZ59" s="36"/>
      <c r="CA59" s="36"/>
      <c r="CB59" s="36"/>
      <c r="CC59" s="36"/>
      <c r="CD59" s="36"/>
    </row>
    <row r="60">
      <c r="A60" s="25" t="n">
        <v>53.0</v>
      </c>
      <c r="B60" s="26" t="s">
        <v>33</v>
      </c>
      <c r="C60" s="27" t="s">
        <v>145</v>
      </c>
      <c r="D60" s="28" t="s">
        <v>149</v>
      </c>
      <c r="E60" s="28" t="s">
        <v>150</v>
      </c>
      <c r="F60" s="29" t="s">
        <v>151</v>
      </c>
      <c r="G60" s="25" t="s">
        <v>38</v>
      </c>
      <c r="H60" s="30" t="n">
        <v>0.6</v>
      </c>
      <c r="I60" s="31" t="n">
        <v>46246.0</v>
      </c>
      <c r="J60" s="31" t="n">
        <f>WORKDAY(I60,ROUND(H60*5,0)-1)</f>
        <v>46248.0</v>
      </c>
      <c r="K60" s="31"/>
      <c r="L60" s="31"/>
      <c r="M60" s="32" t="str">
        <f>IF(OR(ISBLANK(K60),ISBLANK(L60)),"",NETWORKDAYS(K60,L60)/5)</f>
        <v/>
      </c>
      <c r="N60" s="33"/>
      <c r="O60" s="25" t="str">
        <f>IF($N60&gt;=1,"Completed",
 IF($N60=0,"Not Started",
 "In Progress"))</f>
        <v>Not Started</v>
      </c>
      <c r="P60" s="25" t="str">
        <f>IF($N60&gt;=1,
    IF($M60&gt;$K60,"Delayed","On Track"),
 IF(TODAY()&lt;$J60,
    "On Track",
 IF(AND($N60=0,TODAY()&gt;$K60),
    "Delayed",
 IF(AND($L60&lt;&gt;"",$L60&gt;$J60),
    "At Risk",
 IF(TODAY()&gt;$K60,
    "Delayed",
 "On Track")))))</f>
        <v>On Track</v>
      </c>
      <c r="Q60" s="89" t="s">
        <v>38</v>
      </c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X60" s="36"/>
      <c r="BY60" s="36"/>
      <c r="BZ60" s="36"/>
      <c r="CA60" s="36"/>
      <c r="CB60" s="36"/>
      <c r="CC60" s="36"/>
      <c r="CD60" s="36"/>
    </row>
    <row r="61">
      <c r="A61" s="25" t="n">
        <v>54.0</v>
      </c>
      <c r="B61" s="26" t="s">
        <v>33</v>
      </c>
      <c r="C61" s="27" t="s">
        <v>145</v>
      </c>
      <c r="D61" s="28" t="s">
        <v>152</v>
      </c>
      <c r="E61" s="28" t="s">
        <v>136</v>
      </c>
      <c r="F61" s="29" t="s">
        <v>153</v>
      </c>
      <c r="G61" s="25" t="s">
        <v>38</v>
      </c>
      <c r="H61" s="30" t="n">
        <v>0.6</v>
      </c>
      <c r="I61" s="31" t="n">
        <v>46255.0</v>
      </c>
      <c r="J61" s="31" t="n">
        <f>WORKDAY(I61,ROUND(H61*5,0)-1)</f>
        <v>46259.0</v>
      </c>
      <c r="K61" s="31"/>
      <c r="L61" s="31"/>
      <c r="M61" s="32" t="str">
        <f>IF(OR(ISBLANK(K61),ISBLANK(L61)),"",NETWORKDAYS(K61,L61)/5)</f>
        <v/>
      </c>
      <c r="N61" s="33"/>
      <c r="O61" s="25" t="str">
        <f>IF($N61&gt;=1,"Completed",
 IF($N61=0,"Not Started",
 "In Progress"))</f>
        <v>Not Started</v>
      </c>
      <c r="P61" s="25" t="str">
        <f>IF($N61&gt;=1,
    IF($M61&gt;$K61,"Delayed","On Track"),
 IF(TODAY()&lt;$J61,
    "On Track",
 IF(AND($N61=0,TODAY()&gt;$K61),
    "Delayed",
 IF(AND($L61&lt;&gt;"",$L61&gt;$J61),
    "At Risk",
 IF(TODAY()&gt;$K61,
    "Delayed",
 "On Track")))))</f>
        <v>On Track</v>
      </c>
      <c r="Q61" s="90" t="s">
        <v>38</v>
      </c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X61" s="36"/>
      <c r="BY61" s="36"/>
      <c r="BZ61" s="36"/>
      <c r="CA61" s="36"/>
      <c r="CB61" s="36"/>
      <c r="CC61" s="36"/>
      <c r="CD61" s="36"/>
    </row>
    <row r="62">
      <c r="A62" s="25" t="n">
        <v>55.0</v>
      </c>
      <c r="B62" s="26" t="s">
        <v>33</v>
      </c>
      <c r="C62" s="27" t="s">
        <v>145</v>
      </c>
      <c r="D62" s="28" t="s">
        <v>152</v>
      </c>
      <c r="E62" s="28" t="s">
        <v>138</v>
      </c>
      <c r="F62" s="29" t="s">
        <v>91</v>
      </c>
      <c r="G62" s="25" t="s">
        <v>38</v>
      </c>
      <c r="H62" s="30" t="n">
        <v>1.0</v>
      </c>
      <c r="I62" s="31" t="n">
        <v>46255.0</v>
      </c>
      <c r="J62" s="31" t="n">
        <f>WORKDAY(I62,ROUND(H62*5,0)-1)</f>
        <v>46261.0</v>
      </c>
      <c r="K62" s="31"/>
      <c r="L62" s="31"/>
      <c r="M62" s="32" t="str">
        <f>IF(OR(ISBLANK(K62),ISBLANK(L62)),"",NETWORKDAYS(K62,L62)/5)</f>
        <v/>
      </c>
      <c r="N62" s="33"/>
      <c r="O62" s="25" t="str">
        <f>IF($N62&gt;=1,"Completed",
 IF($N62=0,"Not Started",
 "In Progress"))</f>
        <v>Not Started</v>
      </c>
      <c r="P62" s="25" t="str">
        <f>IF($N62&gt;=1,
    IF($M62&gt;$K62,"Delayed","On Track"),
 IF(TODAY()&lt;$J62,
    "On Track",
 IF(AND($N62=0,TODAY()&gt;$K62),
    "Delayed",
 IF(AND($L62&lt;&gt;"",$L62&gt;$J62),
    "At Risk",
 IF(TODAY()&gt;$K62,
    "Delayed",
 "On Track")))))</f>
        <v>On Track</v>
      </c>
      <c r="Q62" s="91" t="s">
        <v>38</v>
      </c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X62" s="36"/>
      <c r="BY62" s="36"/>
      <c r="BZ62" s="36"/>
      <c r="CA62" s="36"/>
      <c r="CB62" s="36"/>
      <c r="CC62" s="36"/>
      <c r="CD62" s="36"/>
    </row>
    <row r="63">
      <c r="A63" s="25" t="n">
        <v>56.0</v>
      </c>
      <c r="B63" s="26" t="s">
        <v>33</v>
      </c>
      <c r="C63" s="27" t="s">
        <v>145</v>
      </c>
      <c r="D63" s="28" t="s">
        <v>152</v>
      </c>
      <c r="E63" s="28" t="s">
        <v>139</v>
      </c>
      <c r="F63" s="29" t="s">
        <v>154</v>
      </c>
      <c r="G63" s="25" t="s">
        <v>38</v>
      </c>
      <c r="H63" s="30" t="n">
        <v>1.0</v>
      </c>
      <c r="I63" s="31" t="n">
        <v>46255.0</v>
      </c>
      <c r="J63" s="31" t="n">
        <f>WORKDAY(I63,ROUND(H63*5,0)-1)</f>
        <v>46261.0</v>
      </c>
      <c r="K63" s="31"/>
      <c r="L63" s="31"/>
      <c r="M63" s="32" t="str">
        <f>IF(OR(ISBLANK(K63),ISBLANK(L63)),"",NETWORKDAYS(K63,L63)/5)</f>
        <v/>
      </c>
      <c r="N63" s="33"/>
      <c r="O63" s="25" t="str">
        <f>IF($N63&gt;=1,"Completed",
 IF($N63=0,"Not Started",
 "In Progress"))</f>
        <v>Not Started</v>
      </c>
      <c r="P63" s="25" t="str">
        <f>IF($N63&gt;=1,
    IF($M63&gt;$K63,"Delayed","On Track"),
 IF(TODAY()&lt;$J63,
    "On Track",
 IF(AND($N63=0,TODAY()&gt;$K63),
    "Delayed",
 IF(AND($L63&lt;&gt;"",$L63&gt;$J63),
    "At Risk",
 IF(TODAY()&gt;$K63,
    "Delayed",
 "On Track")))))</f>
        <v>On Track</v>
      </c>
      <c r="Q63" s="92" t="s">
        <v>38</v>
      </c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X63" s="36"/>
      <c r="BY63" s="36"/>
      <c r="BZ63" s="36"/>
      <c r="CA63" s="36"/>
      <c r="CB63" s="36"/>
      <c r="CC63" s="36"/>
      <c r="CD63" s="36"/>
    </row>
    <row r="64">
      <c r="A64" s="25" t="n">
        <v>57.0</v>
      </c>
      <c r="B64" s="26" t="s">
        <v>33</v>
      </c>
      <c r="C64" s="27" t="s">
        <v>145</v>
      </c>
      <c r="D64" s="28" t="s">
        <v>152</v>
      </c>
      <c r="E64" s="28" t="s">
        <v>155</v>
      </c>
      <c r="F64" s="29" t="s">
        <v>155</v>
      </c>
      <c r="G64" s="25" t="s">
        <v>38</v>
      </c>
      <c r="H64" s="30" t="n">
        <v>1.0</v>
      </c>
      <c r="I64" s="31" t="n">
        <v>46255.0</v>
      </c>
      <c r="J64" s="31" t="n">
        <f>WORKDAY(I64,ROUND(H64*5,0)-1)</f>
        <v>46261.0</v>
      </c>
      <c r="K64" s="31"/>
      <c r="L64" s="31"/>
      <c r="M64" s="32" t="str">
        <f>IF(OR(ISBLANK(K64),ISBLANK(L64)),"",NETWORKDAYS(K64,L64)/5)</f>
        <v/>
      </c>
      <c r="N64" s="33"/>
      <c r="O64" s="25" t="str">
        <f>IF($N64&gt;=1,"Completed",
 IF($N64=0,"Not Started",
 "In Progress"))</f>
        <v>Not Started</v>
      </c>
      <c r="P64" s="25" t="str">
        <f>IF($N64&gt;=1,
    IF($M64&gt;$K64,"Delayed","On Track"),
 IF(TODAY()&lt;$J64,
    "On Track",
 IF(AND($N64=0,TODAY()&gt;$K64),
    "Delayed",
 IF(AND($L64&lt;&gt;"",$L64&gt;$J64),
    "At Risk",
 IF(TODAY()&gt;$K64,
    "Delayed",
 "On Track")))))</f>
        <v>On Track</v>
      </c>
      <c r="Q64" s="93" t="s">
        <v>38</v>
      </c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X64" s="36"/>
      <c r="BY64" s="36"/>
      <c r="BZ64" s="36"/>
      <c r="CA64" s="36"/>
      <c r="CB64" s="36"/>
      <c r="CC64" s="36"/>
      <c r="CD64" s="36"/>
    </row>
    <row r="65">
      <c r="A65" s="25" t="n">
        <v>58.0</v>
      </c>
      <c r="B65" s="26" t="s">
        <v>33</v>
      </c>
      <c r="C65" s="27" t="s">
        <v>145</v>
      </c>
      <c r="D65" s="28" t="s">
        <v>156</v>
      </c>
      <c r="E65" s="28" t="s">
        <v>157</v>
      </c>
      <c r="F65" s="29" t="s">
        <v>158</v>
      </c>
      <c r="G65" s="25" t="s">
        <v>38</v>
      </c>
      <c r="H65" s="30" t="n">
        <v>0.4</v>
      </c>
      <c r="I65" s="31" t="n">
        <v>46262.0</v>
      </c>
      <c r="J65" s="31" t="n">
        <f>WORKDAY(I65,ROUND(H65*5,0)-1)</f>
        <v>46265.0</v>
      </c>
      <c r="K65" s="31"/>
      <c r="L65" s="31"/>
      <c r="M65" s="32" t="str">
        <f>IF(OR(ISBLANK(K65),ISBLANK(L65)),"",NETWORKDAYS(K65,L65)/5)</f>
        <v/>
      </c>
      <c r="N65" s="33"/>
      <c r="O65" s="25" t="str">
        <f>IF($N65&gt;=1,"Completed",
 IF($N65=0,"Not Started",
 "In Progress"))</f>
        <v>Not Started</v>
      </c>
      <c r="P65" s="25" t="str">
        <f>IF($N65&gt;=1,
    IF($M65&gt;$K65,"Delayed","On Track"),
 IF(TODAY()&lt;$J65,
    "On Track",
 IF(AND($N65=0,TODAY()&gt;$K65),
    "Delayed",
 IF(AND($L65&lt;&gt;"",$L65&gt;$J65),
    "At Risk",
 IF(TODAY()&gt;$K65,
    "Delayed",
 "On Track")))))</f>
        <v>On Track</v>
      </c>
      <c r="Q65" s="94" t="s">
        <v>38</v>
      </c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X65" s="36"/>
      <c r="BY65" s="36"/>
      <c r="BZ65" s="36"/>
      <c r="CA65" s="36"/>
      <c r="CB65" s="36"/>
      <c r="CC65" s="36"/>
      <c r="CD65" s="36"/>
    </row>
    <row r="66">
      <c r="A66" s="25" t="n">
        <v>59.0</v>
      </c>
      <c r="B66" s="26" t="s">
        <v>33</v>
      </c>
      <c r="C66" s="27" t="s">
        <v>145</v>
      </c>
      <c r="D66" s="28" t="s">
        <v>159</v>
      </c>
      <c r="E66" s="28" t="s">
        <v>160</v>
      </c>
      <c r="F66" s="29" t="s">
        <v>161</v>
      </c>
      <c r="G66" s="25" t="s">
        <v>38</v>
      </c>
      <c r="H66" s="30" t="n">
        <v>1.0</v>
      </c>
      <c r="I66" s="31" t="n">
        <v>46262.0</v>
      </c>
      <c r="J66" s="31" t="n">
        <f>WORKDAY(I66,ROUND(H66*5,0)-1)</f>
        <v>46268.0</v>
      </c>
      <c r="K66" s="31"/>
      <c r="L66" s="31"/>
      <c r="M66" s="32" t="str">
        <f>IF(OR(ISBLANK(K66),ISBLANK(L66)),"",NETWORKDAYS(K66,L66)/5)</f>
        <v/>
      </c>
      <c r="N66" s="33"/>
      <c r="O66" s="25" t="str">
        <f>IF($N66&gt;=1,"Completed",
 IF($N66=0,"Not Started",
 "In Progress"))</f>
        <v>Not Started</v>
      </c>
      <c r="P66" s="25" t="str">
        <f>IF($N66&gt;=1,
    IF($M66&gt;$K66,"Delayed","On Track"),
 IF(TODAY()&lt;$J66,
    "On Track",
 IF(AND($N66=0,TODAY()&gt;$K66),
    "Delayed",
 IF(AND($L66&lt;&gt;"",$L66&gt;$J66),
    "At Risk",
 IF(TODAY()&gt;$K66,
    "Delayed",
 "On Track")))))</f>
        <v>On Track</v>
      </c>
      <c r="Q66" s="95" t="s">
        <v>38</v>
      </c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X66" s="36"/>
      <c r="BY66" s="36"/>
      <c r="BZ66" s="36"/>
      <c r="CA66" s="36"/>
      <c r="CB66" s="36"/>
      <c r="CC66" s="36"/>
      <c r="CD66" s="36"/>
    </row>
    <row r="67">
      <c r="A67" s="25" t="n">
        <v>60.0</v>
      </c>
      <c r="B67" s="26" t="s">
        <v>33</v>
      </c>
      <c r="C67" s="27" t="s">
        <v>162</v>
      </c>
      <c r="D67" s="28" t="s">
        <v>163</v>
      </c>
      <c r="E67" s="28" t="s">
        <v>164</v>
      </c>
      <c r="F67" s="29" t="s">
        <v>165</v>
      </c>
      <c r="G67" s="25" t="s">
        <v>38</v>
      </c>
      <c r="H67" s="30" t="n">
        <v>1.0</v>
      </c>
      <c r="I67" s="31" t="n">
        <v>46262.0</v>
      </c>
      <c r="J67" s="31" t="n">
        <f>WORKDAY(I67,ROUND(H67*5,0)-1)</f>
        <v>46268.0</v>
      </c>
      <c r="K67" s="31"/>
      <c r="L67" s="31"/>
      <c r="M67" s="32" t="str">
        <f>IF(OR(ISBLANK(K67),ISBLANK(L67)),"",NETWORKDAYS(K67,L67)/5)</f>
        <v/>
      </c>
      <c r="N67" s="33"/>
      <c r="O67" s="25" t="str">
        <f>IF($N67&gt;=1,"Completed",
 IF($N67=0,"Not Started",
 "In Progress"))</f>
        <v>Not Started</v>
      </c>
      <c r="P67" s="25" t="str">
        <f>IF($N67&gt;=1,
    IF($M67&gt;$K67,"Delayed","On Track"),
 IF(TODAY()&lt;$J67,
    "On Track",
 IF(AND($N67=0,TODAY()&gt;$K67),
    "Delayed",
 IF(AND($L67&lt;&gt;"",$L67&gt;$J67),
    "At Risk",
 IF(TODAY()&gt;$K67,
    "Delayed",
 "On Track")))))</f>
        <v>On Track</v>
      </c>
      <c r="Q67" s="96" t="s">
        <v>38</v>
      </c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X67" s="36"/>
      <c r="BY67" s="36"/>
      <c r="BZ67" s="36"/>
      <c r="CA67" s="36"/>
      <c r="CB67" s="36"/>
      <c r="CC67" s="36"/>
      <c r="CD67" s="36"/>
    </row>
    <row r="68">
      <c r="A68" s="25" t="n">
        <v>61.0</v>
      </c>
      <c r="B68" s="26" t="s">
        <v>33</v>
      </c>
      <c r="C68" s="27" t="s">
        <v>162</v>
      </c>
      <c r="D68" s="28" t="s">
        <v>166</v>
      </c>
      <c r="E68" s="28" t="s">
        <v>167</v>
      </c>
      <c r="F68" s="29" t="s">
        <v>168</v>
      </c>
      <c r="G68" s="25" t="s">
        <v>38</v>
      </c>
      <c r="H68" s="30" t="n">
        <v>0.4</v>
      </c>
      <c r="I68" s="31" t="n">
        <v>46269.0</v>
      </c>
      <c r="J68" s="31" t="n">
        <f>WORKDAY(I68,ROUND(H68*5,0)-1)</f>
        <v>46272.0</v>
      </c>
      <c r="K68" s="31"/>
      <c r="L68" s="31"/>
      <c r="M68" s="32" t="str">
        <f>IF(OR(ISBLANK(K68),ISBLANK(L68)),"",NETWORKDAYS(K68,L68)/5)</f>
        <v/>
      </c>
      <c r="N68" s="33"/>
      <c r="O68" s="25" t="str">
        <f>IF($N68&gt;=1,"Completed",
 IF($N68=0,"Not Started",
 "In Progress"))</f>
        <v>Not Started</v>
      </c>
      <c r="P68" s="25" t="str">
        <f>IF($N68&gt;=1,
    IF($M68&gt;$K68,"Delayed","On Track"),
 IF(TODAY()&lt;$J68,
    "On Track",
 IF(AND($N68=0,TODAY()&gt;$K68),
    "Delayed",
 IF(AND($L68&lt;&gt;"",$L68&gt;$J68),
    "At Risk",
 IF(TODAY()&gt;$K68,
    "Delayed",
 "On Track")))))</f>
        <v>On Track</v>
      </c>
      <c r="Q68" s="97" t="s">
        <v>38</v>
      </c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X68" s="36"/>
      <c r="BY68" s="36"/>
      <c r="BZ68" s="36"/>
      <c r="CA68" s="36"/>
      <c r="CB68" s="36"/>
      <c r="CC68" s="36"/>
      <c r="CD68" s="36"/>
    </row>
    <row r="69">
      <c r="A69" s="25" t="n">
        <v>62.0</v>
      </c>
      <c r="B69" s="26" t="s">
        <v>33</v>
      </c>
      <c r="C69" s="27" t="s">
        <v>162</v>
      </c>
      <c r="D69" s="28" t="s">
        <v>166</v>
      </c>
      <c r="E69" s="28" t="s">
        <v>169</v>
      </c>
      <c r="F69" s="29" t="s">
        <v>170</v>
      </c>
      <c r="G69" s="25" t="s">
        <v>38</v>
      </c>
      <c r="H69" s="30" t="n">
        <v>1.2</v>
      </c>
      <c r="I69" s="31" t="n">
        <v>46273.0</v>
      </c>
      <c r="J69" s="31" t="n">
        <f>WORKDAY(I69,ROUND(H69*5,0)-1)</f>
        <v>46280.0</v>
      </c>
      <c r="K69" s="31"/>
      <c r="L69" s="31"/>
      <c r="M69" s="32" t="str">
        <f>IF(OR(ISBLANK(K69),ISBLANK(L69)),"",NETWORKDAYS(K69,L69)/5)</f>
        <v/>
      </c>
      <c r="N69" s="33"/>
      <c r="O69" s="25" t="str">
        <f>IF($N69&gt;=1,"Completed",
 IF($N69=0,"Not Started",
 "In Progress"))</f>
        <v>Not Started</v>
      </c>
      <c r="P69" s="25" t="str">
        <f>IF($N69&gt;=1,
    IF($M69&gt;$K69,"Delayed","On Track"),
 IF(TODAY()&lt;$J69,
    "On Track",
 IF(AND($N69=0,TODAY()&gt;$K69),
    "Delayed",
 IF(AND($L69&lt;&gt;"",$L69&gt;$J69),
    "At Risk",
 IF(TODAY()&gt;$K69,
    "Delayed",
 "On Track")))))</f>
        <v>On Track</v>
      </c>
      <c r="Q69" s="98" t="s">
        <v>38</v>
      </c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X69" s="36"/>
      <c r="BY69" s="36"/>
      <c r="BZ69" s="36"/>
      <c r="CA69" s="36"/>
      <c r="CB69" s="36"/>
      <c r="CC69" s="36"/>
      <c r="CD69" s="36"/>
    </row>
    <row r="70">
      <c r="A70" s="25" t="n">
        <v>63.0</v>
      </c>
      <c r="B70" s="26" t="s">
        <v>33</v>
      </c>
      <c r="C70" s="27" t="s">
        <v>171</v>
      </c>
      <c r="D70" s="28" t="s">
        <v>172</v>
      </c>
      <c r="E70" s="28" t="s">
        <v>160</v>
      </c>
      <c r="F70" s="29" t="s">
        <v>173</v>
      </c>
      <c r="G70" s="25" t="s">
        <v>38</v>
      </c>
      <c r="H70" s="30" t="n">
        <v>0.4</v>
      </c>
      <c r="I70" s="31" t="n">
        <v>46279.0</v>
      </c>
      <c r="J70" s="31" t="n">
        <f>WORKDAY(I70,ROUND(H70*5,0)-1)</f>
        <v>46280.0</v>
      </c>
      <c r="K70" s="31"/>
      <c r="L70" s="31"/>
      <c r="M70" s="32" t="str">
        <f>IF(OR(ISBLANK(K70),ISBLANK(L70)),"",NETWORKDAYS(K70,L70)/5)</f>
        <v/>
      </c>
      <c r="N70" s="33"/>
      <c r="O70" s="25" t="str">
        <f>IF($N70&gt;=1,"Completed",
 IF($N70=0,"Not Started",
 "In Progress"))</f>
        <v>Not Started</v>
      </c>
      <c r="P70" s="25" t="str">
        <f>IF($N70&gt;=1,
    IF($M70&gt;$K70,"Delayed","On Track"),
 IF(TODAY()&lt;$J70,
    "On Track",
 IF(AND($N70=0,TODAY()&gt;$K70),
    "Delayed",
 IF(AND($L70&lt;&gt;"",$L70&gt;$J70),
    "At Risk",
 IF(TODAY()&gt;$K70,
    "Delayed",
 "On Track")))))</f>
        <v>On Track</v>
      </c>
      <c r="Q70" s="99" t="s">
        <v>38</v>
      </c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X70" s="36"/>
      <c r="BY70" s="36"/>
      <c r="BZ70" s="36"/>
      <c r="CA70" s="36"/>
      <c r="CB70" s="36"/>
      <c r="CC70" s="36"/>
      <c r="CD70" s="36"/>
    </row>
    <row r="71">
      <c r="A71" s="25" t="n">
        <v>64.0</v>
      </c>
      <c r="B71" s="26" t="s">
        <v>33</v>
      </c>
      <c r="C71" s="27" t="s">
        <v>171</v>
      </c>
      <c r="D71" s="28" t="s">
        <v>174</v>
      </c>
      <c r="E71" s="28" t="s">
        <v>175</v>
      </c>
      <c r="F71" s="29" t="s">
        <v>151</v>
      </c>
      <c r="G71" s="25" t="s">
        <v>38</v>
      </c>
      <c r="H71" s="30" t="n">
        <v>3.0</v>
      </c>
      <c r="I71" s="31" t="n">
        <v>46281.0</v>
      </c>
      <c r="J71" s="31" t="n">
        <f>WORKDAY(I71,ROUND(H71*5,0)-1)</f>
        <v>46301.0</v>
      </c>
      <c r="K71" s="31"/>
      <c r="L71" s="31"/>
      <c r="M71" s="32" t="str">
        <f>IF(OR(ISBLANK(K71),ISBLANK(L71)),"",NETWORKDAYS(K71,L71)/5)</f>
        <v/>
      </c>
      <c r="N71" s="33"/>
      <c r="O71" s="25" t="str">
        <f>IF($N71&gt;=1,"Completed",
 IF($N71=0,"Not Started",
 "In Progress"))</f>
        <v>Not Started</v>
      </c>
      <c r="P71" s="25" t="str">
        <f>IF($N71&gt;=1,
    IF($M71&gt;$K71,"Delayed","On Track"),
 IF(TODAY()&lt;$J71,
    "On Track",
 IF(AND($N71=0,TODAY()&gt;$K71),
    "Delayed",
 IF(AND($L71&lt;&gt;"",$L71&gt;$J71),
    "At Risk",
 IF(TODAY()&gt;$K71,
    "Delayed",
 "On Track")))))</f>
        <v>On Track</v>
      </c>
      <c r="Q71" s="100" t="s">
        <v>38</v>
      </c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X71" s="36"/>
      <c r="BY71" s="36"/>
      <c r="BZ71" s="36"/>
      <c r="CA71" s="36"/>
      <c r="CB71" s="36"/>
      <c r="CC71" s="36"/>
      <c r="CD71" s="36"/>
    </row>
    <row r="72">
      <c r="A72" s="25" t="n">
        <v>65.0</v>
      </c>
      <c r="B72" s="26" t="s">
        <v>33</v>
      </c>
      <c r="C72" s="27" t="s">
        <v>171</v>
      </c>
      <c r="D72" s="28" t="s">
        <v>174</v>
      </c>
      <c r="E72" s="28" t="s">
        <v>176</v>
      </c>
      <c r="F72" s="29" t="s">
        <v>86</v>
      </c>
      <c r="G72" s="25" t="s">
        <v>38</v>
      </c>
      <c r="H72" s="30" t="n">
        <v>3.0</v>
      </c>
      <c r="I72" s="31" t="n">
        <v>46281.0</v>
      </c>
      <c r="J72" s="31" t="n">
        <f>WORKDAY(I72,ROUND(H72*5,0)-1)</f>
        <v>46301.0</v>
      </c>
      <c r="K72" s="31"/>
      <c r="L72" s="31"/>
      <c r="M72" s="32" t="str">
        <f>IF(OR(ISBLANK(K72),ISBLANK(L72)),"",NETWORKDAYS(K72,L72)/5)</f>
        <v/>
      </c>
      <c r="N72" s="33"/>
      <c r="O72" s="25" t="str">
        <f>IF($N72&gt;=1,"Completed",
 IF($N72=0,"Not Started",
 "In Progress"))</f>
        <v>Not Started</v>
      </c>
      <c r="P72" s="25" t="str">
        <f>IF($N72&gt;=1,
    IF($M72&gt;$K72,"Delayed","On Track"),
 IF(TODAY()&lt;$J72,
    "On Track",
 IF(AND($N72=0,TODAY()&gt;$K72),
    "Delayed",
 IF(AND($L72&lt;&gt;"",$L72&gt;$J72),
    "At Risk",
 IF(TODAY()&gt;$K72,
    "Delayed",
 "On Track")))))</f>
        <v>On Track</v>
      </c>
      <c r="Q72" s="101" t="s">
        <v>38</v>
      </c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X72" s="36"/>
      <c r="BY72" s="36"/>
      <c r="BZ72" s="36"/>
      <c r="CA72" s="36"/>
      <c r="CB72" s="36"/>
      <c r="CC72" s="36"/>
      <c r="CD72" s="36"/>
    </row>
    <row r="73">
      <c r="A73" s="25" t="n">
        <v>66.0</v>
      </c>
      <c r="B73" s="26" t="s">
        <v>33</v>
      </c>
      <c r="C73" s="27" t="s">
        <v>171</v>
      </c>
      <c r="D73" s="28" t="s">
        <v>174</v>
      </c>
      <c r="E73" s="28" t="s">
        <v>177</v>
      </c>
      <c r="F73" s="29" t="s">
        <v>178</v>
      </c>
      <c r="G73" s="25" t="s">
        <v>38</v>
      </c>
      <c r="H73" s="30" t="n">
        <v>1.0</v>
      </c>
      <c r="I73" s="31" t="n">
        <v>46281.0</v>
      </c>
      <c r="J73" s="31" t="n">
        <f>WORKDAY(I73,ROUND(H73*5,0)-1)</f>
        <v>46287.0</v>
      </c>
      <c r="K73" s="31"/>
      <c r="L73" s="31"/>
      <c r="M73" s="32" t="str">
        <f>IF(OR(ISBLANK(K73),ISBLANK(L73)),"",NETWORKDAYS(K73,L73)/5)</f>
        <v/>
      </c>
      <c r="N73" s="33"/>
      <c r="O73" s="25" t="str">
        <f>IF($N73&gt;=1,"Completed",
 IF($N73=0,"Not Started",
 "In Progress"))</f>
        <v>Not Started</v>
      </c>
      <c r="P73" s="25" t="str">
        <f>IF($N73&gt;=1,
    IF($M73&gt;$K73,"Delayed","On Track"),
 IF(TODAY()&lt;$J73,
    "On Track",
 IF(AND($N73=0,TODAY()&gt;$K73),
    "Delayed",
 IF(AND($L73&lt;&gt;"",$L73&gt;$J73),
    "At Risk",
 IF(TODAY()&gt;$K73,
    "Delayed",
 "On Track")))))</f>
        <v>On Track</v>
      </c>
      <c r="Q73" s="102" t="s">
        <v>38</v>
      </c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X73" s="36"/>
      <c r="BY73" s="36"/>
      <c r="BZ73" s="36"/>
      <c r="CA73" s="36"/>
      <c r="CB73" s="36"/>
      <c r="CC73" s="36"/>
      <c r="CD73" s="36"/>
    </row>
    <row r="74">
      <c r="A74" s="25" t="n">
        <v>67.0</v>
      </c>
      <c r="B74" s="26" t="s">
        <v>33</v>
      </c>
      <c r="C74" s="27" t="s">
        <v>171</v>
      </c>
      <c r="D74" s="28" t="s">
        <v>174</v>
      </c>
      <c r="E74" s="28" t="s">
        <v>141</v>
      </c>
      <c r="F74" s="29" t="s">
        <v>179</v>
      </c>
      <c r="G74" s="25" t="s">
        <v>38</v>
      </c>
      <c r="H74" s="30" t="n">
        <v>0.4</v>
      </c>
      <c r="I74" s="31" t="n">
        <v>46281.0</v>
      </c>
      <c r="J74" s="31" t="n">
        <f>WORKDAY(I74,ROUND(H74*5,0)-1)</f>
        <v>46282.0</v>
      </c>
      <c r="K74" s="31"/>
      <c r="L74" s="31"/>
      <c r="M74" s="32" t="str">
        <f>IF(OR(ISBLANK(K74),ISBLANK(L74)),"",NETWORKDAYS(K74,L74)/5)</f>
        <v/>
      </c>
      <c r="N74" s="33"/>
      <c r="O74" s="25" t="str">
        <f>IF($N74&gt;=1,"Completed",
 IF($N74=0,"Not Started",
 "In Progress"))</f>
        <v>Not Started</v>
      </c>
      <c r="P74" s="25" t="str">
        <f>IF($N74&gt;=1,
    IF($M74&gt;$K74,"Delayed","On Track"),
 IF(TODAY()&lt;$J74,
    "On Track",
 IF(AND($N74=0,TODAY()&gt;$K74),
    "Delayed",
 IF(AND($L74&lt;&gt;"",$L74&gt;$J74),
    "At Risk",
 IF(TODAY()&gt;$K74,
    "Delayed",
 "On Track")))))</f>
        <v>On Track</v>
      </c>
      <c r="Q74" s="103" t="s">
        <v>38</v>
      </c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X74" s="36"/>
      <c r="BY74" s="36"/>
      <c r="BZ74" s="36"/>
      <c r="CA74" s="36"/>
      <c r="CB74" s="36"/>
      <c r="CC74" s="36"/>
      <c r="CD74" s="36"/>
    </row>
    <row r="75">
      <c r="A75" s="25" t="n">
        <v>68.0</v>
      </c>
      <c r="B75" s="26" t="s">
        <v>33</v>
      </c>
      <c r="C75" s="27" t="s">
        <v>171</v>
      </c>
      <c r="D75" s="28" t="s">
        <v>174</v>
      </c>
      <c r="E75" s="28" t="s">
        <v>94</v>
      </c>
      <c r="F75" s="29" t="s">
        <v>180</v>
      </c>
      <c r="G75" s="25" t="s">
        <v>38</v>
      </c>
      <c r="H75" s="30" t="n">
        <v>0.4</v>
      </c>
      <c r="I75" s="31" t="n">
        <v>46281.0</v>
      </c>
      <c r="J75" s="31" t="n">
        <f>WORKDAY(I75,ROUND(H75*5,0)-1)</f>
        <v>46282.0</v>
      </c>
      <c r="K75" s="31"/>
      <c r="L75" s="31"/>
      <c r="M75" s="32" t="str">
        <f>IF(OR(ISBLANK(K75),ISBLANK(L75)),"",NETWORKDAYS(K75,L75)/5)</f>
        <v/>
      </c>
      <c r="N75" s="33"/>
      <c r="O75" s="25" t="str">
        <f>IF($N75&gt;=1,"Completed",
 IF($N75=0,"Not Started",
 "In Progress"))</f>
        <v>Not Started</v>
      </c>
      <c r="P75" s="25" t="str">
        <f>IF($N75&gt;=1,
    IF($M75&gt;$K75,"Delayed","On Track"),
 IF(TODAY()&lt;$J75,
    "On Track",
 IF(AND($N75=0,TODAY()&gt;$K75),
    "Delayed",
 IF(AND($L75&lt;&gt;"",$L75&gt;$J75),
    "At Risk",
 IF(TODAY()&gt;$K75,
    "Delayed",
 "On Track")))))</f>
        <v>On Track</v>
      </c>
      <c r="Q75" s="104" t="s">
        <v>38</v>
      </c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X75" s="36"/>
      <c r="BY75" s="36"/>
      <c r="BZ75" s="36"/>
      <c r="CA75" s="36"/>
      <c r="CB75" s="36"/>
      <c r="CC75" s="36"/>
      <c r="CD75" s="36"/>
    </row>
    <row r="76">
      <c r="A76" s="25" t="n">
        <v>69.0</v>
      </c>
      <c r="B76" s="26" t="s">
        <v>33</v>
      </c>
      <c r="C76" s="27" t="s">
        <v>171</v>
      </c>
      <c r="D76" s="28" t="s">
        <v>174</v>
      </c>
      <c r="E76" s="28" t="s">
        <v>181</v>
      </c>
      <c r="F76" s="29" t="s">
        <v>182</v>
      </c>
      <c r="G76" s="25" t="s">
        <v>38</v>
      </c>
      <c r="H76" s="30" t="n">
        <v>1.0</v>
      </c>
      <c r="I76" s="31" t="n">
        <v>46281.0</v>
      </c>
      <c r="J76" s="31" t="n">
        <f>WORKDAY(I76,ROUND(H76*5,0)-1)</f>
        <v>46287.0</v>
      </c>
      <c r="K76" s="31"/>
      <c r="L76" s="31"/>
      <c r="M76" s="32" t="str">
        <f>IF(OR(ISBLANK(K76),ISBLANK(L76)),"",NETWORKDAYS(K76,L76)/5)</f>
        <v/>
      </c>
      <c r="N76" s="33"/>
      <c r="O76" s="25" t="str">
        <f>IF($N76&gt;=1,"Completed",
 IF($N76=0,"Not Started",
 "In Progress"))</f>
        <v>Not Started</v>
      </c>
      <c r="P76" s="25" t="str">
        <f>IF($N76&gt;=1,
    IF($M76&gt;$K76,"Delayed","On Track"),
 IF(TODAY()&lt;$J76,
    "On Track",
 IF(AND($N76=0,TODAY()&gt;$K76),
    "Delayed",
 IF(AND($L76&lt;&gt;"",$L76&gt;$J76),
    "At Risk",
 IF(TODAY()&gt;$K76,
    "Delayed",
 "On Track")))))</f>
        <v>On Track</v>
      </c>
      <c r="Q76" s="105" t="s">
        <v>38</v>
      </c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X76" s="36"/>
      <c r="BY76" s="36"/>
      <c r="BZ76" s="36"/>
      <c r="CA76" s="36"/>
      <c r="CB76" s="36"/>
      <c r="CC76" s="36"/>
      <c r="CD76" s="36"/>
    </row>
    <row r="77">
      <c r="A77" s="25" t="n">
        <v>70.0</v>
      </c>
      <c r="B77" s="26" t="s">
        <v>33</v>
      </c>
      <c r="C77" s="27" t="s">
        <v>171</v>
      </c>
      <c r="D77" s="28" t="s">
        <v>174</v>
      </c>
      <c r="E77" s="28" t="s">
        <v>183</v>
      </c>
      <c r="F77" s="29" t="s">
        <v>184</v>
      </c>
      <c r="G77" s="25" t="s">
        <v>38</v>
      </c>
      <c r="H77" s="30" t="n">
        <v>3.0</v>
      </c>
      <c r="I77" s="31" t="n">
        <v>46281.0</v>
      </c>
      <c r="J77" s="31" t="n">
        <f>WORKDAY(I77,ROUND(H77*5,0)-1)</f>
        <v>46301.0</v>
      </c>
      <c r="K77" s="31"/>
      <c r="L77" s="31"/>
      <c r="M77" s="32" t="str">
        <f>IF(OR(ISBLANK(K77),ISBLANK(L77)),"",NETWORKDAYS(K77,L77)/5)</f>
        <v/>
      </c>
      <c r="N77" s="33"/>
      <c r="O77" s="25" t="str">
        <f>IF($N77&gt;=1,"Completed",
 IF($N77=0,"Not Started",
 "In Progress"))</f>
        <v>Not Started</v>
      </c>
      <c r="P77" s="25" t="str">
        <f>IF($N77&gt;=1,
    IF($M77&gt;$K77,"Delayed","On Track"),
 IF(TODAY()&lt;$J77,
    "On Track",
 IF(AND($N77=0,TODAY()&gt;$K77),
    "Delayed",
 IF(AND($L77&lt;&gt;"",$L77&gt;$J77),
    "At Risk",
 IF(TODAY()&gt;$K77,
    "Delayed",
 "On Track")))))</f>
        <v>On Track</v>
      </c>
      <c r="Q77" s="106" t="s">
        <v>38</v>
      </c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X77" s="36"/>
      <c r="BY77" s="36"/>
      <c r="BZ77" s="36"/>
      <c r="CA77" s="36"/>
      <c r="CB77" s="36"/>
      <c r="CC77" s="36"/>
      <c r="CD77" s="36"/>
    </row>
    <row r="78">
      <c r="A78" s="25" t="n">
        <v>71.0</v>
      </c>
      <c r="B78" s="26" t="s">
        <v>33</v>
      </c>
      <c r="C78" s="27" t="s">
        <v>171</v>
      </c>
      <c r="D78" s="28" t="s">
        <v>185</v>
      </c>
      <c r="E78" s="28" t="s">
        <v>186</v>
      </c>
      <c r="F78" s="29" t="s">
        <v>187</v>
      </c>
      <c r="G78" s="25" t="s">
        <v>38</v>
      </c>
      <c r="H78" s="30" t="n">
        <v>3.0</v>
      </c>
      <c r="I78" s="31" t="n">
        <v>46281.0</v>
      </c>
      <c r="J78" s="31" t="n">
        <f>WORKDAY(I78,ROUND(H78*5,0)-1)</f>
        <v>46301.0</v>
      </c>
      <c r="K78" s="31"/>
      <c r="L78" s="31"/>
      <c r="M78" s="32" t="str">
        <f>IF(OR(ISBLANK(K78),ISBLANK(L78)),"",NETWORKDAYS(K78,L78)/5)</f>
        <v/>
      </c>
      <c r="N78" s="33"/>
      <c r="O78" s="25" t="str">
        <f>IF($N78&gt;=1,"Completed",
 IF($N78=0,"Not Started",
 "In Progress"))</f>
        <v>Not Started</v>
      </c>
      <c r="P78" s="25" t="str">
        <f>IF($N78&gt;=1,
    IF($M78&gt;$K78,"Delayed","On Track"),
 IF(TODAY()&lt;$J78,
    "On Track",
 IF(AND($N78=0,TODAY()&gt;$K78),
    "Delayed",
 IF(AND($L78&lt;&gt;"",$L78&gt;$J78),
    "At Risk",
 IF(TODAY()&gt;$K78,
    "Delayed",
 "On Track")))))</f>
        <v>On Track</v>
      </c>
      <c r="Q78" s="107" t="s">
        <v>38</v>
      </c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X78" s="36"/>
      <c r="BY78" s="36"/>
      <c r="BZ78" s="36"/>
      <c r="CA78" s="36"/>
      <c r="CB78" s="36"/>
      <c r="CC78" s="36"/>
      <c r="CD78" s="36"/>
    </row>
    <row r="79">
      <c r="A79" s="25" t="n">
        <v>72.0</v>
      </c>
      <c r="B79" s="26" t="s">
        <v>33</v>
      </c>
      <c r="C79" s="27" t="s">
        <v>171</v>
      </c>
      <c r="D79" s="28" t="s">
        <v>103</v>
      </c>
      <c r="E79" s="28" t="s">
        <v>104</v>
      </c>
      <c r="F79" s="29" t="s">
        <v>188</v>
      </c>
      <c r="G79" s="25" t="s">
        <v>38</v>
      </c>
      <c r="H79" s="30" t="n">
        <v>0.6</v>
      </c>
      <c r="I79" s="31" t="n">
        <v>46302.0</v>
      </c>
      <c r="J79" s="31" t="n">
        <f>WORKDAY(I79,ROUND(H79*5,0)-1)</f>
        <v>46304.0</v>
      </c>
      <c r="K79" s="31"/>
      <c r="L79" s="31"/>
      <c r="M79" s="32" t="str">
        <f>IF(OR(ISBLANK(K79),ISBLANK(L79)),"",NETWORKDAYS(K79,L79)/5)</f>
        <v/>
      </c>
      <c r="N79" s="33"/>
      <c r="O79" s="25" t="str">
        <f>IF($N79&gt;=1,"Completed",
 IF($N79=0,"Not Started",
 "In Progress"))</f>
        <v>Not Started</v>
      </c>
      <c r="P79" s="25" t="str">
        <f>IF($N79&gt;=1,
    IF($M79&gt;$K79,"Delayed","On Track"),
 IF(TODAY()&lt;$J79,
    "On Track",
 IF(AND($N79=0,TODAY()&gt;$K79),
    "Delayed",
 IF(AND($L79&lt;&gt;"",$L79&gt;$J79),
    "At Risk",
 IF(TODAY()&gt;$K79,
    "Delayed",
 "On Track")))))</f>
        <v>On Track</v>
      </c>
      <c r="Q79" s="108" t="s">
        <v>38</v>
      </c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X79" s="36"/>
      <c r="BY79" s="36"/>
      <c r="BZ79" s="36"/>
      <c r="CA79" s="36"/>
      <c r="CB79" s="36"/>
      <c r="CC79" s="36"/>
      <c r="CD79" s="36"/>
    </row>
    <row r="80">
      <c r="A80" s="25" t="n">
        <v>73.0</v>
      </c>
      <c r="B80" s="26" t="s">
        <v>33</v>
      </c>
      <c r="C80" s="27" t="s">
        <v>189</v>
      </c>
      <c r="D80" s="28" t="s">
        <v>190</v>
      </c>
      <c r="E80" s="28" t="s">
        <v>191</v>
      </c>
      <c r="F80" s="29" t="s">
        <v>192</v>
      </c>
      <c r="G80" s="25" t="s">
        <v>38</v>
      </c>
      <c r="H80" s="30" t="n">
        <v>0.6</v>
      </c>
      <c r="I80" s="31" t="n">
        <v>46302.0</v>
      </c>
      <c r="J80" s="31" t="n">
        <f>WORKDAY(I80,ROUND(H80*5,0)-1)</f>
        <v>46304.0</v>
      </c>
      <c r="K80" s="31"/>
      <c r="L80" s="31"/>
      <c r="M80" s="32" t="str">
        <f>IF(OR(ISBLANK(K80),ISBLANK(L80)),"",NETWORKDAYS(K80,L80)/5)</f>
        <v/>
      </c>
      <c r="N80" s="33"/>
      <c r="O80" s="25" t="str">
        <f>IF($N80&gt;=1,"Completed",
 IF($N80=0,"Not Started",
 "In Progress"))</f>
        <v>Not Started</v>
      </c>
      <c r="P80" s="25" t="str">
        <f>IF($N80&gt;=1,
    IF($M80&gt;$K80,"Delayed","On Track"),
 IF(TODAY()&lt;$J80,
    "On Track",
 IF(AND($N80=0,TODAY()&gt;$K80),
    "Delayed",
 IF(AND($L80&lt;&gt;"",$L80&gt;$J80),
    "At Risk",
 IF(TODAY()&gt;$K80,
    "Delayed",
 "On Track")))))</f>
        <v>On Track</v>
      </c>
      <c r="Q80" s="109" t="s">
        <v>38</v>
      </c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X80" s="36"/>
      <c r="BY80" s="36"/>
      <c r="BZ80" s="36"/>
      <c r="CA80" s="36"/>
      <c r="CB80" s="36"/>
      <c r="CC80" s="36"/>
      <c r="CD80" s="36"/>
    </row>
    <row r="81">
      <c r="A81" s="25" t="n">
        <v>74.0</v>
      </c>
      <c r="B81" s="26" t="s">
        <v>33</v>
      </c>
      <c r="C81" s="27" t="s">
        <v>189</v>
      </c>
      <c r="D81" s="28" t="s">
        <v>157</v>
      </c>
      <c r="E81" s="28" t="s">
        <v>193</v>
      </c>
      <c r="F81" s="29" t="s">
        <v>126</v>
      </c>
      <c r="G81" s="25" t="s">
        <v>38</v>
      </c>
      <c r="H81" s="30" t="n">
        <v>0.6</v>
      </c>
      <c r="I81" s="31" t="n">
        <v>46304.0</v>
      </c>
      <c r="J81" s="31" t="n">
        <f>WORKDAY(I81,ROUND(H81*5,0)-1)</f>
        <v>46308.0</v>
      </c>
      <c r="K81" s="31"/>
      <c r="L81" s="31"/>
      <c r="M81" s="32" t="str">
        <f>IF(OR(ISBLANK(K81),ISBLANK(L81)),"",NETWORKDAYS(K81,L81)/5)</f>
        <v/>
      </c>
      <c r="N81" s="33"/>
      <c r="O81" s="25" t="str">
        <f>IF($N81&gt;=1,"Completed",
 IF($N81=0,"Not Started",
 "In Progress"))</f>
        <v>Not Started</v>
      </c>
      <c r="P81" s="25" t="str">
        <f>IF($N81&gt;=1,
    IF($M81&gt;$K81,"Delayed","On Track"),
 IF(TODAY()&lt;$J81,
    "On Track",
 IF(AND($N81=0,TODAY()&gt;$K81),
    "Delayed",
 IF(AND($L81&lt;&gt;"",$L81&gt;$J81),
    "At Risk",
 IF(TODAY()&gt;$K81,
    "Delayed",
 "On Track")))))</f>
        <v>On Track</v>
      </c>
      <c r="Q81" s="110" t="s">
        <v>38</v>
      </c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X81" s="36"/>
      <c r="BY81" s="36"/>
      <c r="BZ81" s="36"/>
      <c r="CA81" s="36"/>
      <c r="CB81" s="36"/>
      <c r="CC81" s="36"/>
      <c r="CD81" s="36"/>
    </row>
    <row r="82">
      <c r="A82" s="25" t="n">
        <v>75.0</v>
      </c>
      <c r="B82" s="26" t="s">
        <v>33</v>
      </c>
      <c r="C82" s="27" t="s">
        <v>194</v>
      </c>
      <c r="D82" s="28" t="s">
        <v>191</v>
      </c>
      <c r="E82" s="28" t="s">
        <v>195</v>
      </c>
      <c r="F82" s="29" t="s">
        <v>196</v>
      </c>
      <c r="G82" s="25" t="s">
        <v>38</v>
      </c>
      <c r="H82" s="30" t="n">
        <v>0.8</v>
      </c>
      <c r="I82" s="31" t="n">
        <v>46309.0</v>
      </c>
      <c r="J82" s="31" t="n">
        <f>WORKDAY(I82,ROUND(H82*5,0)-1)</f>
        <v>46314.0</v>
      </c>
      <c r="K82" s="31"/>
      <c r="L82" s="31"/>
      <c r="M82" s="32" t="str">
        <f>IF(OR(ISBLANK(K82),ISBLANK(L82)),"",NETWORKDAYS(K82,L82)/5)</f>
        <v/>
      </c>
      <c r="N82" s="33"/>
      <c r="O82" s="25" t="str">
        <f>IF($N82&gt;=1,"Completed",
 IF($N82=0,"Not Started",
 "In Progress"))</f>
        <v>Not Started</v>
      </c>
      <c r="P82" s="25" t="str">
        <f>IF($N82&gt;=1,
    IF($M82&gt;$K82,"Delayed","On Track"),
 IF(TODAY()&lt;$J82,
    "On Track",
 IF(AND($N82=0,TODAY()&gt;$K82),
    "Delayed",
 IF(AND($L82&lt;&gt;"",$L82&gt;$J82),
    "At Risk",
 IF(TODAY()&gt;$K82,
    "Delayed",
 "On Track")))))</f>
        <v>On Track</v>
      </c>
      <c r="Q82" s="111" t="s">
        <v>38</v>
      </c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X82" s="36"/>
      <c r="BY82" s="36"/>
      <c r="BZ82" s="36"/>
      <c r="CA82" s="36"/>
      <c r="CB82" s="36"/>
      <c r="CC82" s="36"/>
      <c r="CD82" s="36"/>
    </row>
    <row r="83">
      <c r="A83" s="25" t="n">
        <v>76.0</v>
      </c>
      <c r="B83" s="26" t="s">
        <v>33</v>
      </c>
      <c r="C83" s="27" t="s">
        <v>194</v>
      </c>
      <c r="D83" s="28" t="s">
        <v>183</v>
      </c>
      <c r="E83" s="28" t="s">
        <v>157</v>
      </c>
      <c r="F83" s="29" t="s">
        <v>197</v>
      </c>
      <c r="G83" s="25" t="s">
        <v>38</v>
      </c>
      <c r="H83" s="30" t="n">
        <v>0.8</v>
      </c>
      <c r="I83" s="31" t="n">
        <v>46309.0</v>
      </c>
      <c r="J83" s="31" t="n">
        <f>WORKDAY(I83,ROUND(H83*5,0)-1)</f>
        <v>46314.0</v>
      </c>
      <c r="K83" s="31"/>
      <c r="L83" s="31"/>
      <c r="M83" s="32" t="str">
        <f>IF(OR(ISBLANK(K83),ISBLANK(L83)),"",NETWORKDAYS(K83,L83)/5)</f>
        <v/>
      </c>
      <c r="N83" s="33"/>
      <c r="O83" s="25" t="str">
        <f>IF($N83&gt;=1,"Completed",
 IF($N83=0,"Not Started",
 "In Progress"))</f>
        <v>Not Started</v>
      </c>
      <c r="P83" s="25" t="str">
        <f>IF($N83&gt;=1,
    IF($M83&gt;$K83,"Delayed","On Track"),
 IF(TODAY()&lt;$J83,
    "On Track",
 IF(AND($N83=0,TODAY()&gt;$K83),
    "Delayed",
 IF(AND($L83&lt;&gt;"",$L83&gt;$J83),
    "At Risk",
 IF(TODAY()&gt;$K83,
    "Delayed",
 "On Track")))))</f>
        <v>On Track</v>
      </c>
      <c r="Q83" s="112" t="s">
        <v>38</v>
      </c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X83" s="36"/>
      <c r="BY83" s="36"/>
      <c r="BZ83" s="36"/>
      <c r="CA83" s="36"/>
      <c r="CB83" s="36"/>
      <c r="CC83" s="36"/>
      <c r="CD83" s="36"/>
    </row>
    <row r="84">
      <c r="A84" s="25" t="n">
        <v>77.0</v>
      </c>
      <c r="B84" s="26" t="s">
        <v>33</v>
      </c>
      <c r="C84" s="27" t="s">
        <v>194</v>
      </c>
      <c r="D84" s="28" t="s">
        <v>183</v>
      </c>
      <c r="E84" s="28" t="s">
        <v>157</v>
      </c>
      <c r="F84" s="29" t="s">
        <v>198</v>
      </c>
      <c r="G84" s="25" t="s">
        <v>38</v>
      </c>
      <c r="H84" s="30" t="n">
        <v>0.4</v>
      </c>
      <c r="I84" s="31" t="n">
        <v>46315.0</v>
      </c>
      <c r="J84" s="31" t="n">
        <f>WORKDAY(I84,ROUND(H84*5,0)-1)</f>
        <v>46316.0</v>
      </c>
      <c r="K84" s="31"/>
      <c r="L84" s="31"/>
      <c r="M84" s="32" t="str">
        <f>IF(OR(ISBLANK(K84),ISBLANK(L84)),"",NETWORKDAYS(K84,L84)/5)</f>
        <v/>
      </c>
      <c r="N84" s="33"/>
      <c r="O84" s="25" t="str">
        <f>IF($N84&gt;=1,"Completed",
 IF($N84=0,"Not Started",
 "In Progress"))</f>
        <v>Not Started</v>
      </c>
      <c r="P84" s="25" t="str">
        <f>IF($N84&gt;=1,
    IF($M84&gt;$K84,"Delayed","On Track"),
 IF(TODAY()&lt;$J84,
    "On Track",
 IF(AND($N84=0,TODAY()&gt;$K84),
    "Delayed",
 IF(AND($L84&lt;&gt;"",$L84&gt;$J84),
    "At Risk",
 IF(TODAY()&gt;$K84,
    "Delayed",
 "On Track")))))</f>
        <v>On Track</v>
      </c>
      <c r="Q84" s="113" t="s">
        <v>38</v>
      </c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X84" s="36"/>
      <c r="BY84" s="36"/>
      <c r="BZ84" s="36"/>
      <c r="CA84" s="36"/>
      <c r="CB84" s="36"/>
      <c r="CC84" s="36"/>
      <c r="CD84" s="36"/>
    </row>
    <row r="85">
      <c r="A85" s="25" t="n">
        <v>78.0</v>
      </c>
      <c r="B85" s="26" t="s">
        <v>33</v>
      </c>
      <c r="C85" s="27" t="s">
        <v>194</v>
      </c>
      <c r="D85" s="28" t="s">
        <v>103</v>
      </c>
      <c r="E85" s="28" t="s">
        <v>193</v>
      </c>
      <c r="F85" s="29" t="s">
        <v>199</v>
      </c>
      <c r="G85" s="25" t="s">
        <v>38</v>
      </c>
      <c r="H85" s="30" t="n">
        <v>0.4</v>
      </c>
      <c r="I85" s="31" t="n">
        <v>46317.0</v>
      </c>
      <c r="J85" s="31" t="n">
        <f>WORKDAY(I85,ROUND(H85*5,0)-1)</f>
        <v>46318.0</v>
      </c>
      <c r="K85" s="31"/>
      <c r="L85" s="31"/>
      <c r="M85" s="32" t="str">
        <f>IF(OR(ISBLANK(K85),ISBLANK(L85)),"",NETWORKDAYS(K85,L85)/5)</f>
        <v/>
      </c>
      <c r="N85" s="33"/>
      <c r="O85" s="25" t="str">
        <f>IF($N85&gt;=1,"Completed",
 IF($N85=0,"Not Started",
 "In Progress"))</f>
        <v>Not Started</v>
      </c>
      <c r="P85" s="25" t="str">
        <f>IF($N85&gt;=1,
    IF($M85&gt;$K85,"Delayed","On Track"),
 IF(TODAY()&lt;$J85,
    "On Track",
 IF(AND($N85=0,TODAY()&gt;$K85),
    "Delayed",
 IF(AND($L85&lt;&gt;"",$L85&gt;$J85),
    "At Risk",
 IF(TODAY()&gt;$K85,
    "Delayed",
 "On Track")))))</f>
        <v>On Track</v>
      </c>
      <c r="Q85" s="114" t="s">
        <v>38</v>
      </c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X85" s="36"/>
      <c r="BY85" s="36"/>
      <c r="BZ85" s="36"/>
      <c r="CA85" s="36"/>
      <c r="CB85" s="36"/>
      <c r="CC85" s="36"/>
      <c r="CD85" s="36"/>
    </row>
    <row r="86">
      <c r="A86" s="25" t="n">
        <v>79.0</v>
      </c>
      <c r="B86" s="26" t="s">
        <v>33</v>
      </c>
      <c r="C86" s="27" t="s">
        <v>200</v>
      </c>
      <c r="D86" s="28" t="s">
        <v>103</v>
      </c>
      <c r="E86" s="28" t="s">
        <v>167</v>
      </c>
      <c r="F86" s="29" t="s">
        <v>201</v>
      </c>
      <c r="G86" s="25" t="s">
        <v>38</v>
      </c>
      <c r="H86" s="30" t="n">
        <v>0.4</v>
      </c>
      <c r="I86" s="31" t="n">
        <v>46317.0</v>
      </c>
      <c r="J86" s="31" t="n">
        <f>WORKDAY(I86,ROUND(H86*5,0)-1)</f>
        <v>46318.0</v>
      </c>
      <c r="K86" s="31"/>
      <c r="L86" s="31"/>
      <c r="M86" s="32" t="str">
        <f>IF(OR(ISBLANK(K86),ISBLANK(L86)),"",NETWORKDAYS(K86,L86)/5)</f>
        <v/>
      </c>
      <c r="N86" s="33"/>
      <c r="O86" s="25" t="str">
        <f>IF($N86&gt;=1,"Completed",
 IF($N86=0,"Not Started",
 "In Progress"))</f>
        <v>Not Started</v>
      </c>
      <c r="P86" s="25" t="str">
        <f>IF($N86&gt;=1,
    IF($M86&gt;$K86,"Delayed","On Track"),
 IF(TODAY()&lt;$J86,
    "On Track",
 IF(AND($N86=0,TODAY()&gt;$K86),
    "Delayed",
 IF(AND($L86&lt;&gt;"",$L86&gt;$J86),
    "At Risk",
 IF(TODAY()&gt;$K86,
    "Delayed",
 "On Track")))))</f>
        <v>On Track</v>
      </c>
      <c r="Q86" s="115" t="s">
        <v>38</v>
      </c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X86" s="36"/>
      <c r="BY86" s="36"/>
      <c r="BZ86" s="36"/>
      <c r="CA86" s="36"/>
      <c r="CB86" s="36"/>
      <c r="CC86" s="36"/>
      <c r="CD86" s="36"/>
    </row>
    <row r="87">
      <c r="A87" s="25" t="n">
        <v>80.0</v>
      </c>
      <c r="B87" s="26" t="s">
        <v>33</v>
      </c>
      <c r="C87" s="27" t="s">
        <v>200</v>
      </c>
      <c r="D87" s="28" t="s">
        <v>103</v>
      </c>
      <c r="E87" s="28" t="s">
        <v>202</v>
      </c>
      <c r="F87" s="29" t="s">
        <v>203</v>
      </c>
      <c r="G87" s="25" t="s">
        <v>38</v>
      </c>
      <c r="H87" s="30" t="n">
        <v>0.4</v>
      </c>
      <c r="I87" s="31" t="n">
        <v>46317.0</v>
      </c>
      <c r="J87" s="31" t="n">
        <f>WORKDAY(I87,ROUND(H87*5,0)-1)</f>
        <v>46318.0</v>
      </c>
      <c r="K87" s="31"/>
      <c r="L87" s="31"/>
      <c r="M87" s="32" t="str">
        <f>IF(OR(ISBLANK(K87),ISBLANK(L87)),"",NETWORKDAYS(K87,L87)/5)</f>
        <v/>
      </c>
      <c r="N87" s="33"/>
      <c r="O87" s="25" t="str">
        <f>IF($N87&gt;=1,"Completed",
 IF($N87=0,"Not Started",
 "In Progress"))</f>
        <v>Not Started</v>
      </c>
      <c r="P87" s="25" t="str">
        <f>IF($N87&gt;=1,
    IF($M87&gt;$K87,"Delayed","On Track"),
 IF(TODAY()&lt;$J87,
    "On Track",
 IF(AND($N87=0,TODAY()&gt;$K87),
    "Delayed",
 IF(AND($L87&lt;&gt;"",$L87&gt;$J87),
    "At Risk",
 IF(TODAY()&gt;$K87,
    "Delayed",
 "On Track")))))</f>
        <v>On Track</v>
      </c>
      <c r="Q87" s="116" t="s">
        <v>38</v>
      </c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X87" s="36"/>
      <c r="BY87" s="36"/>
      <c r="BZ87" s="36"/>
      <c r="CA87" s="36"/>
      <c r="CB87" s="36"/>
      <c r="CC87" s="36"/>
      <c r="CD87" s="36"/>
    </row>
    <row r="88">
      <c r="A88" s="25" t="n">
        <v>81.0</v>
      </c>
      <c r="B88" s="26" t="s">
        <v>33</v>
      </c>
      <c r="C88" s="27" t="s">
        <v>200</v>
      </c>
      <c r="D88" s="28" t="s">
        <v>103</v>
      </c>
      <c r="E88" s="28" t="s">
        <v>204</v>
      </c>
      <c r="F88" s="29" t="s">
        <v>205</v>
      </c>
      <c r="G88" s="25" t="s">
        <v>38</v>
      </c>
      <c r="H88" s="30" t="n">
        <v>0.4</v>
      </c>
      <c r="I88" s="31" t="n">
        <v>46317.0</v>
      </c>
      <c r="J88" s="31" t="n">
        <f>WORKDAY(I88,ROUND(H88*5,0)-1)</f>
        <v>46318.0</v>
      </c>
      <c r="K88" s="31"/>
      <c r="L88" s="31"/>
      <c r="M88" s="32" t="str">
        <f>IF(OR(ISBLANK(K88),ISBLANK(L88)),"",NETWORKDAYS(K88,L88)/5)</f>
        <v/>
      </c>
      <c r="N88" s="33"/>
      <c r="O88" s="25" t="str">
        <f>IF($N88&gt;=1,"Completed",
 IF($N88=0,"Not Started",
 "In Progress"))</f>
        <v>Not Started</v>
      </c>
      <c r="P88" s="25" t="str">
        <f>IF($N88&gt;=1,
    IF($M88&gt;$K88,"Delayed","On Track"),
 IF(TODAY()&lt;$J88,
    "On Track",
 IF(AND($N88=0,TODAY()&gt;$K88),
    "Delayed",
 IF(AND($L88&lt;&gt;"",$L88&gt;$J88),
    "At Risk",
 IF(TODAY()&gt;$K88,
    "Delayed",
 "On Track")))))</f>
        <v>On Track</v>
      </c>
      <c r="Q88" s="117" t="s">
        <v>38</v>
      </c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X88" s="36"/>
      <c r="BY88" s="36"/>
      <c r="BZ88" s="36"/>
      <c r="CA88" s="36"/>
      <c r="CB88" s="36"/>
      <c r="CC88" s="36"/>
      <c r="CD88" s="36"/>
    </row>
    <row r="89">
      <c r="A89" s="25" t="n">
        <v>82.0</v>
      </c>
      <c r="B89" s="26" t="s">
        <v>33</v>
      </c>
      <c r="C89" s="27" t="s">
        <v>200</v>
      </c>
      <c r="D89" s="28" t="s">
        <v>103</v>
      </c>
      <c r="E89" s="28" t="s">
        <v>206</v>
      </c>
      <c r="F89" s="29" t="s">
        <v>207</v>
      </c>
      <c r="G89" s="25" t="s">
        <v>38</v>
      </c>
      <c r="H89" s="30" t="n">
        <v>0.4</v>
      </c>
      <c r="I89" s="31" t="n">
        <v>46317.0</v>
      </c>
      <c r="J89" s="31" t="n">
        <f>WORKDAY(I89,ROUND(H89*5,0)-1)</f>
        <v>46318.0</v>
      </c>
      <c r="K89" s="31"/>
      <c r="L89" s="31"/>
      <c r="M89" s="32" t="str">
        <f>IF(OR(ISBLANK(K89),ISBLANK(L89)),"",NETWORKDAYS(K89,L89)/5)</f>
        <v/>
      </c>
      <c r="N89" s="33"/>
      <c r="O89" s="25" t="str">
        <f>IF($N89&gt;=1,"Completed",
 IF($N89=0,"Not Started",
 "In Progress"))</f>
        <v>Not Started</v>
      </c>
      <c r="P89" s="25" t="str">
        <f>IF($N89&gt;=1,
    IF($M89&gt;$K89,"Delayed","On Track"),
 IF(TODAY()&lt;$J89,
    "On Track",
 IF(AND($N89=0,TODAY()&gt;$K89),
    "Delayed",
 IF(AND($L89&lt;&gt;"",$L89&gt;$J89),
    "At Risk",
 IF(TODAY()&gt;$K89,
    "Delayed",
 "On Track")))))</f>
        <v>On Track</v>
      </c>
      <c r="Q89" s="118" t="s">
        <v>38</v>
      </c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X89" s="36"/>
      <c r="BY89" s="36"/>
      <c r="BZ89" s="36"/>
      <c r="CA89" s="36"/>
      <c r="CB89" s="36"/>
      <c r="CC89" s="36"/>
      <c r="CD89" s="36"/>
    </row>
    <row r="90">
      <c r="A90" s="25" t="n">
        <v>83.0</v>
      </c>
      <c r="B90" s="26" t="s">
        <v>33</v>
      </c>
      <c r="C90" s="27" t="s">
        <v>200</v>
      </c>
      <c r="D90" s="28" t="s">
        <v>103</v>
      </c>
      <c r="E90" s="28" t="s">
        <v>208</v>
      </c>
      <c r="F90" s="29" t="s">
        <v>209</v>
      </c>
      <c r="G90" s="25" t="s">
        <v>38</v>
      </c>
      <c r="H90" s="30" t="n">
        <v>0.4</v>
      </c>
      <c r="I90" s="31" t="n">
        <v>46317.0</v>
      </c>
      <c r="J90" s="31" t="n">
        <f>WORKDAY(I90,ROUND(H90*5,0)-1)</f>
        <v>46318.0</v>
      </c>
      <c r="K90" s="31"/>
      <c r="L90" s="31"/>
      <c r="M90" s="32" t="str">
        <f>IF(OR(ISBLANK(K90),ISBLANK(L90)),"",NETWORKDAYS(K90,L90)/5)</f>
        <v/>
      </c>
      <c r="N90" s="33"/>
      <c r="O90" s="25" t="str">
        <f>IF($N90&gt;=1,"Completed",
 IF($N90=0,"Not Started",
 "In Progress"))</f>
        <v>Not Started</v>
      </c>
      <c r="P90" s="25" t="str">
        <f>IF($N90&gt;=1,
    IF($M90&gt;$K90,"Delayed","On Track"),
 IF(TODAY()&lt;$J90,
    "On Track",
 IF(AND($N90=0,TODAY()&gt;$K90),
    "Delayed",
 IF(AND($L90&lt;&gt;"",$L90&gt;$J90),
    "At Risk",
 IF(TODAY()&gt;$K90,
    "Delayed",
 "On Track")))))</f>
        <v>On Track</v>
      </c>
      <c r="Q90" s="119" t="s">
        <v>38</v>
      </c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X90" s="36"/>
      <c r="BY90" s="36"/>
      <c r="BZ90" s="36"/>
      <c r="CA90" s="36"/>
      <c r="CB90" s="36"/>
      <c r="CC90" s="36"/>
      <c r="CD90" s="36"/>
    </row>
    <row r="91">
      <c r="A91" s="25" t="n">
        <v>84.0</v>
      </c>
      <c r="B91" s="26" t="s">
        <v>33</v>
      </c>
      <c r="C91" s="27" t="s">
        <v>200</v>
      </c>
      <c r="D91" s="28" t="s">
        <v>103</v>
      </c>
      <c r="E91" s="28" t="s">
        <v>210</v>
      </c>
      <c r="F91" s="29" t="s">
        <v>211</v>
      </c>
      <c r="G91" s="25" t="s">
        <v>38</v>
      </c>
      <c r="H91" s="30" t="n">
        <v>0.4</v>
      </c>
      <c r="I91" s="31" t="n">
        <v>46317.0</v>
      </c>
      <c r="J91" s="31" t="n">
        <f>WORKDAY(I91,ROUND(H91*5,0)-1)</f>
        <v>46318.0</v>
      </c>
      <c r="K91" s="31"/>
      <c r="L91" s="31"/>
      <c r="M91" s="32" t="str">
        <f>IF(OR(ISBLANK(K91),ISBLANK(L91)),"",NETWORKDAYS(K91,L91)/5)</f>
        <v/>
      </c>
      <c r="N91" s="33"/>
      <c r="O91" s="25" t="str">
        <f>IF($N91&gt;=1,"Completed",
 IF($N91=0,"Not Started",
 "In Progress"))</f>
        <v>Not Started</v>
      </c>
      <c r="P91" s="25" t="str">
        <f>IF($N91&gt;=1,
    IF($M91&gt;$K91,"Delayed","On Track"),
 IF(TODAY()&lt;$J91,
    "On Track",
 IF(AND($N91=0,TODAY()&gt;$K91),
    "Delayed",
 IF(AND($L91&lt;&gt;"",$L91&gt;$J91),
    "At Risk",
 IF(TODAY()&gt;$K91,
    "Delayed",
 "On Track")))))</f>
        <v>On Track</v>
      </c>
      <c r="Q91" s="120" t="s">
        <v>38</v>
      </c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X91" s="36"/>
      <c r="BY91" s="36"/>
      <c r="BZ91" s="36"/>
      <c r="CA91" s="36"/>
      <c r="CB91" s="36"/>
      <c r="CC91" s="36"/>
      <c r="CD91" s="36"/>
    </row>
    <row r="92">
      <c r="A92" s="25" t="n">
        <v>85.0</v>
      </c>
      <c r="B92" s="26" t="s">
        <v>33</v>
      </c>
      <c r="C92" s="27" t="s">
        <v>200</v>
      </c>
      <c r="D92" s="28" t="s">
        <v>103</v>
      </c>
      <c r="E92" s="28" t="s">
        <v>193</v>
      </c>
      <c r="F92" s="29" t="s">
        <v>212</v>
      </c>
      <c r="G92" s="25" t="s">
        <v>38</v>
      </c>
      <c r="H92" s="30" t="n">
        <v>0.4</v>
      </c>
      <c r="I92" s="31" t="n">
        <v>46317.0</v>
      </c>
      <c r="J92" s="31" t="n">
        <f>WORKDAY(I92,ROUND(H92*5,0)-1)</f>
        <v>46318.0</v>
      </c>
      <c r="K92" s="31"/>
      <c r="L92" s="31"/>
      <c r="M92" s="32" t="str">
        <f>IF(OR(ISBLANK(K92),ISBLANK(L92)),"",NETWORKDAYS(K92,L92)/5)</f>
        <v/>
      </c>
      <c r="N92" s="33"/>
      <c r="O92" s="25" t="str">
        <f>IF($N92&gt;=1,"Completed",
 IF($N92=0,"Not Started",
 "In Progress"))</f>
        <v>Not Started</v>
      </c>
      <c r="P92" s="25" t="str">
        <f>IF($N92&gt;=1,
    IF($M92&gt;$K92,"Delayed","On Track"),
 IF(TODAY()&lt;$J92,
    "On Track",
 IF(AND($N92=0,TODAY()&gt;$K92),
    "Delayed",
 IF(AND($L92&lt;&gt;"",$L92&gt;$J92),
    "At Risk",
 IF(TODAY()&gt;$K92,
    "Delayed",
 "On Track")))))</f>
        <v>On Track</v>
      </c>
      <c r="Q92" s="121" t="s">
        <v>38</v>
      </c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X92" s="36"/>
      <c r="BY92" s="36"/>
      <c r="BZ92" s="36"/>
      <c r="CA92" s="36"/>
      <c r="CB92" s="36"/>
      <c r="CC92" s="36"/>
      <c r="CD92" s="36"/>
    </row>
    <row r="93">
      <c r="A93" s="25" t="n">
        <v>86.0</v>
      </c>
      <c r="B93" s="26" t="s">
        <v>33</v>
      </c>
      <c r="C93" s="27" t="s">
        <v>213</v>
      </c>
      <c r="D93" s="28" t="s">
        <v>190</v>
      </c>
      <c r="E93" s="28" t="s">
        <v>214</v>
      </c>
      <c r="F93" s="29" t="s">
        <v>215</v>
      </c>
      <c r="G93" s="25" t="s">
        <v>38</v>
      </c>
      <c r="H93" s="30" t="n">
        <v>0.2</v>
      </c>
      <c r="I93" s="31" t="n">
        <v>46339.0</v>
      </c>
      <c r="J93" s="31" t="n">
        <f>WORKDAY(I93,ROUND(H93*5,0)-1)</f>
        <v>46339.0</v>
      </c>
      <c r="K93" s="31"/>
      <c r="L93" s="31"/>
      <c r="M93" s="32" t="str">
        <f>IF(OR(ISBLANK(K93),ISBLANK(L93)),"",NETWORKDAYS(K93,L93)/5)</f>
        <v/>
      </c>
      <c r="N93" s="33"/>
      <c r="O93" s="25" t="str">
        <f>IF($N93&gt;=1,"Completed",
 IF($N93=0,"Not Started",
 "In Progress"))</f>
        <v>Not Started</v>
      </c>
      <c r="P93" s="25" t="str">
        <f>IF($N93&gt;=1,
    IF($M93&gt;$K93,"Delayed","On Track"),
 IF(TODAY()&lt;$J93,
    "On Track",
 IF(AND($N93=0,TODAY()&gt;$K93),
    "Delayed",
 IF(AND($L93&lt;&gt;"",$L93&gt;$J93),
    "At Risk",
 IF(TODAY()&gt;$K93,
    "Delayed",
 "On Track")))))</f>
        <v>On Track</v>
      </c>
      <c r="Q93" s="122" t="s">
        <v>38</v>
      </c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X93" s="36"/>
      <c r="BY93" s="36"/>
      <c r="BZ93" s="36"/>
      <c r="CA93" s="36"/>
      <c r="CB93" s="36"/>
      <c r="CC93" s="36"/>
      <c r="CD93" s="36"/>
    </row>
    <row r="94">
      <c r="A94" s="25" t="n">
        <v>87.0</v>
      </c>
      <c r="B94" s="26" t="s">
        <v>33</v>
      </c>
      <c r="C94" s="27" t="s">
        <v>213</v>
      </c>
      <c r="D94" s="28" t="s">
        <v>190</v>
      </c>
      <c r="E94" s="28" t="s">
        <v>216</v>
      </c>
      <c r="F94" s="29" t="s">
        <v>217</v>
      </c>
      <c r="G94" s="25" t="s">
        <v>38</v>
      </c>
      <c r="H94" s="30" t="n">
        <v>0.2</v>
      </c>
      <c r="I94" s="31" t="n">
        <v>46339.0</v>
      </c>
      <c r="J94" s="31" t="n">
        <f>WORKDAY(I94,ROUND(H94*5,0)-1)</f>
        <v>46339.0</v>
      </c>
      <c r="K94" s="31"/>
      <c r="L94" s="31"/>
      <c r="M94" s="32" t="str">
        <f>IF(OR(ISBLANK(K94),ISBLANK(L94)),"",NETWORKDAYS(K94,L94)/5)</f>
        <v/>
      </c>
      <c r="N94" s="33"/>
      <c r="O94" s="25" t="str">
        <f>IF($N94&gt;=1,"Completed",
 IF($N94=0,"Not Started",
 "In Progress"))</f>
        <v>Not Started</v>
      </c>
      <c r="P94" s="25" t="str">
        <f>IF($N94&gt;=1,
    IF($M94&gt;$K94,"Delayed","On Track"),
 IF(TODAY()&lt;$J94,
    "On Track",
 IF(AND($N94=0,TODAY()&gt;$K94),
    "Delayed",
 IF(AND($L94&lt;&gt;"",$L94&gt;$J94),
    "At Risk",
 IF(TODAY()&gt;$K94,
    "Delayed",
 "On Track")))))</f>
        <v>On Track</v>
      </c>
      <c r="Q94" s="123" t="s">
        <v>38</v>
      </c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X94" s="36"/>
      <c r="BY94" s="36"/>
      <c r="BZ94" s="36"/>
      <c r="CA94" s="36"/>
      <c r="CB94" s="36"/>
      <c r="CC94" s="36"/>
      <c r="CD94" s="36"/>
    </row>
    <row r="95">
      <c r="A95" s="25" t="n">
        <v>88.0</v>
      </c>
      <c r="B95" s="26" t="s">
        <v>33</v>
      </c>
      <c r="C95" s="27" t="s">
        <v>213</v>
      </c>
      <c r="D95" s="28" t="s">
        <v>190</v>
      </c>
      <c r="E95" s="28" t="s">
        <v>191</v>
      </c>
      <c r="F95" s="29" t="s">
        <v>218</v>
      </c>
      <c r="G95" s="25" t="s">
        <v>38</v>
      </c>
      <c r="H95" s="30" t="n">
        <v>0.2</v>
      </c>
      <c r="I95" s="31" t="n">
        <v>46340.0</v>
      </c>
      <c r="J95" s="31" t="n">
        <f>WORKDAY(I95,ROUND(H95*5,0)-1)</f>
        <v>46340.0</v>
      </c>
      <c r="K95" s="31"/>
      <c r="L95" s="31"/>
      <c r="M95" s="32" t="str">
        <f>IF(OR(ISBLANK(K95),ISBLANK(L95)),"",NETWORKDAYS(K95,L95)/5)</f>
        <v/>
      </c>
      <c r="N95" s="33"/>
      <c r="O95" s="25" t="str">
        <f>IF($N95&gt;=1,"Completed",
 IF($N95=0,"Not Started",
 "In Progress"))</f>
        <v>Not Started</v>
      </c>
      <c r="P95" s="25" t="str">
        <f>IF($N95&gt;=1,
    IF($M95&gt;$K95,"Delayed","On Track"),
 IF(TODAY()&lt;$J95,
    "On Track",
 IF(AND($N95=0,TODAY()&gt;$K95),
    "Delayed",
 IF(AND($L95&lt;&gt;"",$L95&gt;$J95),
    "At Risk",
 IF(TODAY()&gt;$K95,
    "Delayed",
 "On Track")))))</f>
        <v>On Track</v>
      </c>
      <c r="Q95" s="124" t="s">
        <v>38</v>
      </c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X95" s="36"/>
      <c r="BY95" s="36"/>
      <c r="BZ95" s="36"/>
      <c r="CA95" s="36"/>
      <c r="CB95" s="36"/>
      <c r="CC95" s="36"/>
      <c r="CD95" s="36"/>
    </row>
    <row r="96">
      <c r="A96" s="25" t="n">
        <v>89.0</v>
      </c>
      <c r="B96" s="26" t="s">
        <v>33</v>
      </c>
      <c r="C96" s="27" t="s">
        <v>213</v>
      </c>
      <c r="D96" s="28" t="s">
        <v>190</v>
      </c>
      <c r="E96" s="28" t="s">
        <v>157</v>
      </c>
      <c r="F96" s="29" t="s">
        <v>126</v>
      </c>
      <c r="G96" s="25" t="s">
        <v>38</v>
      </c>
      <c r="H96" s="30" t="n">
        <v>0.2</v>
      </c>
      <c r="I96" s="31" t="n">
        <v>46340.0</v>
      </c>
      <c r="J96" s="31" t="n">
        <f>WORKDAY(I96,ROUND(H96*5,0)-1)</f>
        <v>46340.0</v>
      </c>
      <c r="K96" s="31"/>
      <c r="L96" s="31"/>
      <c r="M96" s="32" t="str">
        <f>IF(OR(ISBLANK(K96),ISBLANK(L96)),"",NETWORKDAYS(K96,L96)/5)</f>
        <v/>
      </c>
      <c r="N96" s="33"/>
      <c r="O96" s="25" t="str">
        <f>IF($N96&gt;=1,"Completed",
 IF($N96=0,"Not Started",
 "In Progress"))</f>
        <v>Not Started</v>
      </c>
      <c r="P96" s="25" t="str">
        <f>IF($N96&gt;=1,
    IF($M96&gt;$K96,"Delayed","On Track"),
 IF(TODAY()&lt;$J96,
    "On Track",
 IF(AND($N96=0,TODAY()&gt;$K96),
    "Delayed",
 IF(AND($L96&lt;&gt;"",$L96&gt;$J96),
    "At Risk",
 IF(TODAY()&gt;$K96,
    "Delayed",
 "On Track")))))</f>
        <v>On Track</v>
      </c>
      <c r="Q96" s="125" t="s">
        <v>38</v>
      </c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X96" s="36"/>
      <c r="BY96" s="36"/>
      <c r="BZ96" s="36"/>
      <c r="CA96" s="36"/>
      <c r="CB96" s="36"/>
      <c r="CC96" s="36"/>
      <c r="CD96" s="36"/>
    </row>
    <row r="97">
      <c r="A97" s="25" t="n">
        <v>90.0</v>
      </c>
      <c r="B97" s="26" t="s">
        <v>33</v>
      </c>
      <c r="C97" s="27" t="s">
        <v>213</v>
      </c>
      <c r="D97" s="28" t="s">
        <v>190</v>
      </c>
      <c r="E97" s="28" t="s">
        <v>193</v>
      </c>
      <c r="F97" s="29" t="s">
        <v>219</v>
      </c>
      <c r="G97" s="25" t="s">
        <v>38</v>
      </c>
      <c r="H97" s="30" t="n">
        <v>0.2</v>
      </c>
      <c r="I97" s="31" t="n">
        <v>46341.0</v>
      </c>
      <c r="J97" s="31" t="n">
        <f>WORKDAY(I97,ROUND(H97*5,0)-1)</f>
        <v>46341.0</v>
      </c>
      <c r="K97" s="31"/>
      <c r="L97" s="31"/>
      <c r="M97" s="32" t="str">
        <f>IF(OR(ISBLANK(K97),ISBLANK(L97)),"",NETWORKDAYS(K97,L97)/5)</f>
        <v/>
      </c>
      <c r="N97" s="33"/>
      <c r="O97" s="25" t="str">
        <f>IF($N97&gt;=1,"Completed",
 IF($N97=0,"Not Started",
 "In Progress"))</f>
        <v>Not Started</v>
      </c>
      <c r="P97" s="25" t="str">
        <f>IF($N97&gt;=1,
    IF($M97&gt;$K97,"Delayed","On Track"),
 IF(TODAY()&lt;$J97,
    "On Track",
 IF(AND($N97=0,TODAY()&gt;$K97),
    "Delayed",
 IF(AND($L97&lt;&gt;"",$L97&gt;$J97),
    "At Risk",
 IF(TODAY()&gt;$K97,
    "Delayed",
 "On Track")))))</f>
        <v>On Track</v>
      </c>
      <c r="Q97" s="126" t="s">
        <v>38</v>
      </c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X97" s="36"/>
      <c r="BY97" s="36"/>
      <c r="BZ97" s="36"/>
      <c r="CA97" s="36"/>
      <c r="CB97" s="36"/>
      <c r="CC97" s="36"/>
      <c r="CD97" s="36"/>
    </row>
    <row r="98">
      <c r="A98" s="25" t="n">
        <v>91.0</v>
      </c>
      <c r="B98" s="26" t="s">
        <v>33</v>
      </c>
      <c r="C98" s="27" t="s">
        <v>213</v>
      </c>
      <c r="D98" s="28" t="s">
        <v>183</v>
      </c>
      <c r="E98" s="28" t="s">
        <v>157</v>
      </c>
      <c r="F98" s="29" t="s">
        <v>220</v>
      </c>
      <c r="G98" s="25" t="s">
        <v>38</v>
      </c>
      <c r="H98" s="30" t="n">
        <v>0.2</v>
      </c>
      <c r="I98" s="31" t="n">
        <v>46340.0</v>
      </c>
      <c r="J98" s="31" t="n">
        <f>WORKDAY(I98,ROUND(H98*5,0)-1)</f>
        <v>46340.0</v>
      </c>
      <c r="K98" s="31"/>
      <c r="L98" s="31"/>
      <c r="M98" s="32" t="str">
        <f>IF(OR(ISBLANK(K98),ISBLANK(L98)),"",NETWORKDAYS(K98,L98)/5)</f>
        <v/>
      </c>
      <c r="N98" s="33"/>
      <c r="O98" s="25" t="str">
        <f>IF($N98&gt;=1,"Completed",
 IF($N98=0,"Not Started",
 "In Progress"))</f>
        <v>Not Started</v>
      </c>
      <c r="P98" s="25" t="str">
        <f>IF($N98&gt;=1,
    IF($M98&gt;$K98,"Delayed","On Track"),
 IF(TODAY()&lt;$J98,
    "On Track",
 IF(AND($N98=0,TODAY()&gt;$K98),
    "Delayed",
 IF(AND($L98&lt;&gt;"",$L98&gt;$J98),
    "At Risk",
 IF(TODAY()&gt;$K98,
    "Delayed",
 "On Track")))))</f>
        <v>On Track</v>
      </c>
      <c r="Q98" s="127" t="s">
        <v>38</v>
      </c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X98" s="36"/>
      <c r="BY98" s="36"/>
      <c r="BZ98" s="36"/>
      <c r="CA98" s="36"/>
      <c r="CB98" s="36"/>
      <c r="CC98" s="36"/>
      <c r="CD98" s="36"/>
    </row>
    <row r="99">
      <c r="A99" s="25" t="n">
        <v>92.0</v>
      </c>
      <c r="B99" s="26" t="s">
        <v>33</v>
      </c>
      <c r="C99" s="27" t="s">
        <v>213</v>
      </c>
      <c r="D99" s="28" t="s">
        <v>103</v>
      </c>
      <c r="E99" s="28" t="s">
        <v>193</v>
      </c>
      <c r="F99" s="29" t="s">
        <v>199</v>
      </c>
      <c r="G99" s="25" t="s">
        <v>38</v>
      </c>
      <c r="H99" s="30" t="n">
        <v>0.2</v>
      </c>
      <c r="I99" s="31" t="n">
        <v>46340.0</v>
      </c>
      <c r="J99" s="31" t="n">
        <f>WORKDAY(I99,ROUND(H99*5,0)-1)</f>
        <v>46340.0</v>
      </c>
      <c r="K99" s="31"/>
      <c r="L99" s="31"/>
      <c r="M99" s="32" t="str">
        <f>IF(OR(ISBLANK(K99),ISBLANK(L99)),"",NETWORKDAYS(K99,L99)/5)</f>
        <v/>
      </c>
      <c r="N99" s="33"/>
      <c r="O99" s="25" t="str">
        <f>IF($N99&gt;=1,"Completed",
 IF($N99=0,"Not Started",
 "In Progress"))</f>
        <v>Not Started</v>
      </c>
      <c r="P99" s="25" t="str">
        <f>IF($N99&gt;=1,
    IF($M99&gt;$K99,"Delayed","On Track"),
 IF(TODAY()&lt;$J99,
    "On Track",
 IF(AND($N99=0,TODAY()&gt;$K99),
    "Delayed",
 IF(AND($L99&lt;&gt;"",$L99&gt;$J99),
    "At Risk",
 IF(TODAY()&gt;$K99,
    "Delayed",
 "On Track")))))</f>
        <v>On Track</v>
      </c>
      <c r="Q99" s="128" t="s">
        <v>38</v>
      </c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X99" s="36"/>
      <c r="BY99" s="36"/>
      <c r="BZ99" s="36"/>
      <c r="CA99" s="36"/>
      <c r="CB99" s="36"/>
      <c r="CC99" s="36"/>
      <c r="CD99" s="36"/>
    </row>
    <row r="100">
      <c r="A100" s="25" t="n">
        <v>93.0</v>
      </c>
      <c r="B100" s="26" t="s">
        <v>33</v>
      </c>
      <c r="C100" s="27" t="s">
        <v>213</v>
      </c>
      <c r="D100" s="28" t="s">
        <v>103</v>
      </c>
      <c r="E100" s="28" t="s">
        <v>193</v>
      </c>
      <c r="F100" s="29" t="s">
        <v>212</v>
      </c>
      <c r="G100" s="25" t="s">
        <v>38</v>
      </c>
      <c r="H100" s="30" t="n">
        <v>0.2</v>
      </c>
      <c r="I100" s="31" t="n">
        <v>46340.0</v>
      </c>
      <c r="J100" s="31" t="n">
        <f>WORKDAY(I100,ROUND(H100*5,0)-1)</f>
        <v>46340.0</v>
      </c>
      <c r="K100" s="31"/>
      <c r="L100" s="31"/>
      <c r="M100" s="32" t="str">
        <f>IF(OR(ISBLANK(K100),ISBLANK(L100)),"",NETWORKDAYS(K100,L100)/5)</f>
        <v/>
      </c>
      <c r="N100" s="33"/>
      <c r="O100" s="25" t="str">
        <f>IF($N100&gt;=1,"Completed",
 IF($N100=0,"Not Started",
 "In Progress"))</f>
        <v>Not Started</v>
      </c>
      <c r="P100" s="25" t="str">
        <f>IF($N100&gt;=1,
    IF($M100&gt;$K100,"Delayed","On Track"),
 IF(TODAY()&lt;$J100,
    "On Track",
 IF(AND($N100=0,TODAY()&gt;$K100),
    "Delayed",
 IF(AND($L100&lt;&gt;"",$L100&gt;$J100),
    "At Risk",
 IF(TODAY()&gt;$K100,
    "Delayed",
 "On Track")))))</f>
        <v>On Track</v>
      </c>
      <c r="Q100" s="129" t="s">
        <v>38</v>
      </c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X100" s="36"/>
      <c r="BY100" s="36"/>
      <c r="BZ100" s="36"/>
      <c r="CA100" s="36"/>
      <c r="CB100" s="36"/>
      <c r="CC100" s="36"/>
      <c r="CD100" s="36"/>
    </row>
    <row r="101">
      <c r="A101" s="25" t="n">
        <v>94.0</v>
      </c>
      <c r="B101" s="26" t="s">
        <v>33</v>
      </c>
      <c r="C101" s="27" t="s">
        <v>213</v>
      </c>
      <c r="D101" s="28" t="s">
        <v>103</v>
      </c>
      <c r="E101" s="28" t="s">
        <v>167</v>
      </c>
      <c r="F101" s="29" t="s">
        <v>201</v>
      </c>
      <c r="G101" s="25" t="s">
        <v>38</v>
      </c>
      <c r="H101" s="30" t="n">
        <v>0.2</v>
      </c>
      <c r="I101" s="31" t="n">
        <v>46340.0</v>
      </c>
      <c r="J101" s="31" t="n">
        <f>WORKDAY(I101,ROUND(H101*5,0)-1)</f>
        <v>46340.0</v>
      </c>
      <c r="K101" s="31"/>
      <c r="L101" s="31"/>
      <c r="M101" s="32" t="str">
        <f>IF(OR(ISBLANK(K101),ISBLANK(L101)),"",NETWORKDAYS(K101,L101)/5)</f>
        <v/>
      </c>
      <c r="N101" s="33"/>
      <c r="O101" s="25" t="str">
        <f>IF($N101&gt;=1,"Completed",
 IF($N101=0,"Not Started",
 "In Progress"))</f>
        <v>Not Started</v>
      </c>
      <c r="P101" s="25" t="str">
        <f>IF($N101&gt;=1,
    IF($M101&gt;$K101,"Delayed","On Track"),
 IF(TODAY()&lt;$J101,
    "On Track",
 IF(AND($N101=0,TODAY()&gt;$K101),
    "Delayed",
 IF(AND($L101&lt;&gt;"",$L101&gt;$J101),
    "At Risk",
 IF(TODAY()&gt;$K101,
    "Delayed",
 "On Track")))))</f>
        <v>On Track</v>
      </c>
      <c r="Q101" s="130" t="s">
        <v>38</v>
      </c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X101" s="36"/>
      <c r="BY101" s="36"/>
      <c r="BZ101" s="36"/>
      <c r="CA101" s="36"/>
      <c r="CB101" s="36"/>
      <c r="CC101" s="36"/>
      <c r="CD101" s="36"/>
    </row>
    <row r="102">
      <c r="A102" s="25" t="n">
        <v>95.0</v>
      </c>
      <c r="B102" s="26" t="s">
        <v>33</v>
      </c>
      <c r="C102" s="27" t="s">
        <v>213</v>
      </c>
      <c r="D102" s="28" t="s">
        <v>103</v>
      </c>
      <c r="E102" s="28" t="s">
        <v>202</v>
      </c>
      <c r="F102" s="29" t="s">
        <v>203</v>
      </c>
      <c r="G102" s="25" t="s">
        <v>38</v>
      </c>
      <c r="H102" s="30" t="n">
        <v>0.2</v>
      </c>
      <c r="I102" s="31" t="n">
        <v>46340.0</v>
      </c>
      <c r="J102" s="31" t="n">
        <f>WORKDAY(I102,ROUND(H102*5,0)-1)</f>
        <v>46340.0</v>
      </c>
      <c r="K102" s="31"/>
      <c r="L102" s="31"/>
      <c r="M102" s="32" t="str">
        <f>IF(OR(ISBLANK(K102),ISBLANK(L102)),"",NETWORKDAYS(K102,L102)/5)</f>
        <v/>
      </c>
      <c r="N102" s="33"/>
      <c r="O102" s="25" t="str">
        <f>IF($N102&gt;=1,"Completed",
 IF($N102=0,"Not Started",
 "In Progress"))</f>
        <v>Not Started</v>
      </c>
      <c r="P102" s="25" t="str">
        <f>IF($N102&gt;=1,
    IF($M102&gt;$K102,"Delayed","On Track"),
 IF(TODAY()&lt;$J102,
    "On Track",
 IF(AND($N102=0,TODAY()&gt;$K102),
    "Delayed",
 IF(AND($L102&lt;&gt;"",$L102&gt;$J102),
    "At Risk",
 IF(TODAY()&gt;$K102,
    "Delayed",
 "On Track")))))</f>
        <v>On Track</v>
      </c>
      <c r="Q102" s="131" t="s">
        <v>38</v>
      </c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X102" s="36"/>
      <c r="BY102" s="36"/>
      <c r="BZ102" s="36"/>
      <c r="CA102" s="36"/>
      <c r="CB102" s="36"/>
      <c r="CC102" s="36"/>
      <c r="CD102" s="36"/>
    </row>
    <row r="103">
      <c r="A103" s="25" t="n">
        <v>96.0</v>
      </c>
      <c r="B103" s="26" t="s">
        <v>33</v>
      </c>
      <c r="C103" s="27" t="s">
        <v>213</v>
      </c>
      <c r="D103" s="28" t="s">
        <v>103</v>
      </c>
      <c r="E103" s="28" t="s">
        <v>204</v>
      </c>
      <c r="F103" s="29" t="s">
        <v>205</v>
      </c>
      <c r="G103" s="25" t="s">
        <v>38</v>
      </c>
      <c r="H103" s="30" t="n">
        <v>0.2</v>
      </c>
      <c r="I103" s="31" t="n">
        <v>46340.0</v>
      </c>
      <c r="J103" s="31" t="n">
        <f>WORKDAY(I103,ROUND(H103*5,0)-1)</f>
        <v>46340.0</v>
      </c>
      <c r="K103" s="31"/>
      <c r="L103" s="31"/>
      <c r="M103" s="32" t="str">
        <f>IF(OR(ISBLANK(K103),ISBLANK(L103)),"",NETWORKDAYS(K103,L103)/5)</f>
        <v/>
      </c>
      <c r="N103" s="33"/>
      <c r="O103" s="25" t="str">
        <f>IF($N103&gt;=1,"Completed",
 IF($N103=0,"Not Started",
 "In Progress"))</f>
        <v>Not Started</v>
      </c>
      <c r="P103" s="25" t="str">
        <f>IF($N103&gt;=1,
    IF($M103&gt;$K103,"Delayed","On Track"),
 IF(TODAY()&lt;$J103,
    "On Track",
 IF(AND($N103=0,TODAY()&gt;$K103),
    "Delayed",
 IF(AND($L103&lt;&gt;"",$L103&gt;$J103),
    "At Risk",
 IF(TODAY()&gt;$K103,
    "Delayed",
 "On Track")))))</f>
        <v>On Track</v>
      </c>
      <c r="Q103" s="132" t="s">
        <v>38</v>
      </c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X103" s="36"/>
      <c r="BY103" s="36"/>
      <c r="BZ103" s="36"/>
      <c r="CA103" s="36"/>
      <c r="CB103" s="36"/>
      <c r="CC103" s="36"/>
      <c r="CD103" s="36"/>
    </row>
    <row r="104">
      <c r="A104" s="25" t="n">
        <v>97.0</v>
      </c>
      <c r="B104" s="26" t="s">
        <v>33</v>
      </c>
      <c r="C104" s="27" t="s">
        <v>213</v>
      </c>
      <c r="D104" s="28" t="s">
        <v>103</v>
      </c>
      <c r="E104" s="28" t="s">
        <v>206</v>
      </c>
      <c r="F104" s="29" t="s">
        <v>207</v>
      </c>
      <c r="G104" s="25" t="s">
        <v>38</v>
      </c>
      <c r="H104" s="30" t="n">
        <v>0.2</v>
      </c>
      <c r="I104" s="31" t="n">
        <v>46340.0</v>
      </c>
      <c r="J104" s="31" t="n">
        <f>WORKDAY(I104,ROUND(H104*5,0)-1)</f>
        <v>46340.0</v>
      </c>
      <c r="K104" s="31"/>
      <c r="L104" s="31"/>
      <c r="M104" s="32" t="str">
        <f>IF(OR(ISBLANK(K104),ISBLANK(L104)),"",NETWORKDAYS(K104,L104)/5)</f>
        <v/>
      </c>
      <c r="N104" s="33"/>
      <c r="O104" s="25" t="str">
        <f>IF($N104&gt;=1,"Completed",
 IF($N104=0,"Not Started",
 "In Progress"))</f>
        <v>Not Started</v>
      </c>
      <c r="P104" s="25" t="str">
        <f>IF($N104&gt;=1,
    IF($M104&gt;$K104,"Delayed","On Track"),
 IF(TODAY()&lt;$J104,
    "On Track",
 IF(AND($N104=0,TODAY()&gt;$K104),
    "Delayed",
 IF(AND($L104&lt;&gt;"",$L104&gt;$J104),
    "At Risk",
 IF(TODAY()&gt;$K104,
    "Delayed",
 "On Track")))))</f>
        <v>On Track</v>
      </c>
      <c r="Q104" s="133" t="s">
        <v>38</v>
      </c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X104" s="36"/>
      <c r="BY104" s="36"/>
      <c r="BZ104" s="36"/>
      <c r="CA104" s="36"/>
      <c r="CB104" s="36"/>
      <c r="CC104" s="36"/>
      <c r="CD104" s="36"/>
    </row>
    <row r="105">
      <c r="A105" s="25" t="n">
        <v>98.0</v>
      </c>
      <c r="B105" s="26" t="s">
        <v>33</v>
      </c>
      <c r="C105" s="27" t="s">
        <v>213</v>
      </c>
      <c r="D105" s="28" t="s">
        <v>103</v>
      </c>
      <c r="E105" s="28" t="s">
        <v>208</v>
      </c>
      <c r="F105" s="29" t="s">
        <v>209</v>
      </c>
      <c r="G105" s="25" t="s">
        <v>38</v>
      </c>
      <c r="H105" s="30" t="n">
        <v>0.2</v>
      </c>
      <c r="I105" s="31" t="n">
        <v>46340.0</v>
      </c>
      <c r="J105" s="31" t="n">
        <f>WORKDAY(I105,ROUND(H105*5,0)-1)</f>
        <v>46340.0</v>
      </c>
      <c r="K105" s="31"/>
      <c r="L105" s="31"/>
      <c r="M105" s="32" t="str">
        <f>IF(OR(ISBLANK(K105),ISBLANK(L105)),"",NETWORKDAYS(K105,L105)/5)</f>
        <v/>
      </c>
      <c r="N105" s="33"/>
      <c r="O105" s="25" t="str">
        <f>IF($N105&gt;=1,"Completed",
 IF($N105=0,"Not Started",
 "In Progress"))</f>
        <v>Not Started</v>
      </c>
      <c r="P105" s="25" t="str">
        <f>IF($N105&gt;=1,
    IF($M105&gt;$K105,"Delayed","On Track"),
 IF(TODAY()&lt;$J105,
    "On Track",
 IF(AND($N105=0,TODAY()&gt;$K105),
    "Delayed",
 IF(AND($L105&lt;&gt;"",$L105&gt;$J105),
    "At Risk",
 IF(TODAY()&gt;$K105,
    "Delayed",
 "On Track")))))</f>
        <v>On Track</v>
      </c>
      <c r="Q105" s="134" t="s">
        <v>38</v>
      </c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X105" s="36"/>
      <c r="BY105" s="36"/>
      <c r="BZ105" s="36"/>
      <c r="CA105" s="36"/>
      <c r="CB105" s="36"/>
      <c r="CC105" s="36"/>
      <c r="CD105" s="36"/>
    </row>
    <row r="106">
      <c r="A106" s="25" t="n">
        <v>99.0</v>
      </c>
      <c r="B106" s="26" t="s">
        <v>33</v>
      </c>
      <c r="C106" s="27" t="s">
        <v>213</v>
      </c>
      <c r="D106" s="28" t="s">
        <v>103</v>
      </c>
      <c r="E106" s="28" t="s">
        <v>210</v>
      </c>
      <c r="F106" s="29" t="s">
        <v>211</v>
      </c>
      <c r="G106" s="25" t="s">
        <v>38</v>
      </c>
      <c r="H106" s="30" t="n">
        <v>0.2</v>
      </c>
      <c r="I106" s="31" t="n">
        <v>46340.0</v>
      </c>
      <c r="J106" s="31" t="n">
        <f>WORKDAY(I106,ROUND(H106*5,0)-1)</f>
        <v>46340.0</v>
      </c>
      <c r="K106" s="31"/>
      <c r="L106" s="31"/>
      <c r="M106" s="32" t="str">
        <f>IF(OR(ISBLANK(K106),ISBLANK(L106)),"",NETWORKDAYS(K106,L106)/5)</f>
        <v/>
      </c>
      <c r="N106" s="33"/>
      <c r="O106" s="25" t="str">
        <f>IF($N106&gt;=1,"Completed",
 IF($N106=0,"Not Started",
 "In Progress"))</f>
        <v>Not Started</v>
      </c>
      <c r="P106" s="25" t="str">
        <f>IF($N106&gt;=1,
    IF($M106&gt;$K106,"Delayed","On Track"),
 IF(TODAY()&lt;$J106,
    "On Track",
 IF(AND($N106=0,TODAY()&gt;$K106),
    "Delayed",
 IF(AND($L106&lt;&gt;"",$L106&gt;$J106),
    "At Risk",
 IF(TODAY()&gt;$K106,
    "Delayed",
 "On Track")))))</f>
        <v>On Track</v>
      </c>
      <c r="Q106" s="135" t="s">
        <v>38</v>
      </c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X106" s="36"/>
      <c r="BY106" s="36"/>
      <c r="BZ106" s="36"/>
      <c r="CA106" s="36"/>
      <c r="CB106" s="36"/>
      <c r="CC106" s="36"/>
      <c r="CD106" s="36"/>
    </row>
    <row r="107">
      <c r="A107" s="25" t="n">
        <v>100.0</v>
      </c>
      <c r="B107" s="26" t="s">
        <v>33</v>
      </c>
      <c r="C107" s="27" t="s">
        <v>213</v>
      </c>
      <c r="D107" s="28" t="s">
        <v>221</v>
      </c>
      <c r="E107" s="28" t="s">
        <v>150</v>
      </c>
      <c r="F107" s="29" t="s">
        <v>222</v>
      </c>
      <c r="G107" s="25" t="s">
        <v>38</v>
      </c>
      <c r="H107" s="30" t="n">
        <v>0.2</v>
      </c>
      <c r="I107" s="31" t="n">
        <v>46342.0</v>
      </c>
      <c r="J107" s="31" t="n">
        <f>WORKDAY(I107,ROUND(H107*5,0)-1)</f>
        <v>46342.0</v>
      </c>
      <c r="K107" s="31"/>
      <c r="L107" s="31"/>
      <c r="M107" s="32" t="str">
        <f>IF(OR(ISBLANK(K107),ISBLANK(L107)),"",NETWORKDAYS(K107,L107)/5)</f>
        <v/>
      </c>
      <c r="N107" s="33"/>
      <c r="O107" s="25" t="str">
        <f>IF($N107&gt;=1,"Completed",
 IF($N107=0,"Not Started",
 "In Progress"))</f>
        <v>Not Started</v>
      </c>
      <c r="P107" s="25" t="str">
        <f>IF($N107&gt;=1,
    IF($M107&gt;$K107,"Delayed","On Track"),
 IF(TODAY()&lt;$J107,
    "On Track",
 IF(AND($N107=0,TODAY()&gt;$K107),
    "Delayed",
 IF(AND($L107&lt;&gt;"",$L107&gt;$J107),
    "At Risk",
 IF(TODAY()&gt;$K107,
    "Delayed",
 "On Track")))))</f>
        <v>On Track</v>
      </c>
      <c r="Q107" s="136" t="s">
        <v>38</v>
      </c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X107" s="36"/>
      <c r="BY107" s="36"/>
      <c r="BZ107" s="36"/>
      <c r="CA107" s="36"/>
      <c r="CB107" s="36"/>
      <c r="CC107" s="36"/>
      <c r="CD107" s="36"/>
    </row>
    <row r="108">
      <c r="A108" s="25" t="n">
        <v>101.0</v>
      </c>
      <c r="B108" s="26" t="s">
        <v>33</v>
      </c>
      <c r="C108" s="27" t="s">
        <v>213</v>
      </c>
      <c r="D108" s="28" t="s">
        <v>221</v>
      </c>
      <c r="E108" s="28" t="s">
        <v>136</v>
      </c>
      <c r="F108" s="29" t="s">
        <v>137</v>
      </c>
      <c r="G108" s="25" t="s">
        <v>38</v>
      </c>
      <c r="H108" s="30" t="n">
        <v>0.2</v>
      </c>
      <c r="I108" s="31" t="n">
        <v>46342.0</v>
      </c>
      <c r="J108" s="31" t="n">
        <f>WORKDAY(I108,ROUND(H108*5,0)-1)</f>
        <v>46342.0</v>
      </c>
      <c r="K108" s="31"/>
      <c r="L108" s="31"/>
      <c r="M108" s="32" t="str">
        <f>IF(OR(ISBLANK(K108),ISBLANK(L108)),"",NETWORKDAYS(K108,L108)/5)</f>
        <v/>
      </c>
      <c r="N108" s="33"/>
      <c r="O108" s="25" t="str">
        <f>IF($N108&gt;=1,"Completed",
 IF($N108=0,"Not Started",
 "In Progress"))</f>
        <v>Not Started</v>
      </c>
      <c r="P108" s="25" t="str">
        <f>IF($N108&gt;=1,
    IF($M108&gt;$K108,"Delayed","On Track"),
 IF(TODAY()&lt;$J108,
    "On Track",
 IF(AND($N108=0,TODAY()&gt;$K108),
    "Delayed",
 IF(AND($L108&lt;&gt;"",$L108&gt;$J108),
    "At Risk",
 IF(TODAY()&gt;$K108,
    "Delayed",
 "On Track")))))</f>
        <v>On Track</v>
      </c>
      <c r="Q108" s="137" t="s">
        <v>38</v>
      </c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X108" s="36"/>
      <c r="BY108" s="36"/>
      <c r="BZ108" s="36"/>
      <c r="CA108" s="36"/>
      <c r="CB108" s="36"/>
      <c r="CC108" s="36"/>
      <c r="CD108" s="36"/>
    </row>
    <row r="109">
      <c r="A109" s="25" t="n">
        <v>102.0</v>
      </c>
      <c r="B109" s="26" t="s">
        <v>33</v>
      </c>
      <c r="C109" s="27" t="s">
        <v>213</v>
      </c>
      <c r="D109" s="28" t="s">
        <v>221</v>
      </c>
      <c r="E109" s="28" t="s">
        <v>138</v>
      </c>
      <c r="F109" s="29" t="s">
        <v>91</v>
      </c>
      <c r="G109" s="25" t="s">
        <v>38</v>
      </c>
      <c r="H109" s="30" t="n">
        <v>0.2</v>
      </c>
      <c r="I109" s="31" t="n">
        <v>46342.0</v>
      </c>
      <c r="J109" s="31" t="n">
        <f>WORKDAY(I109,ROUND(H109*5,0)-1)</f>
        <v>46342.0</v>
      </c>
      <c r="K109" s="31"/>
      <c r="L109" s="31"/>
      <c r="M109" s="32" t="str">
        <f>IF(OR(ISBLANK(K109),ISBLANK(L109)),"",NETWORKDAYS(K109,L109)/5)</f>
        <v/>
      </c>
      <c r="N109" s="33"/>
      <c r="O109" s="25" t="str">
        <f>IF($N109&gt;=1,"Completed",
 IF($N109=0,"Not Started",
 "In Progress"))</f>
        <v>Not Started</v>
      </c>
      <c r="P109" s="25" t="str">
        <f>IF($N109&gt;=1,
    IF($M109&gt;$K109,"Delayed","On Track"),
 IF(TODAY()&lt;$J109,
    "On Track",
 IF(AND($N109=0,TODAY()&gt;$K109),
    "Delayed",
 IF(AND($L109&lt;&gt;"",$L109&gt;$J109),
    "At Risk",
 IF(TODAY()&gt;$K109,
    "Delayed",
 "On Track")))))</f>
        <v>On Track</v>
      </c>
      <c r="Q109" s="138" t="s">
        <v>38</v>
      </c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X109" s="36"/>
      <c r="BY109" s="36"/>
      <c r="BZ109" s="36"/>
      <c r="CA109" s="36"/>
      <c r="CB109" s="36"/>
      <c r="CC109" s="36"/>
      <c r="CD109" s="36"/>
    </row>
    <row r="110">
      <c r="A110" s="25" t="n">
        <v>103.0</v>
      </c>
      <c r="B110" s="26" t="s">
        <v>33</v>
      </c>
      <c r="C110" s="27" t="s">
        <v>213</v>
      </c>
      <c r="D110" s="28" t="s">
        <v>221</v>
      </c>
      <c r="E110" s="28" t="s">
        <v>139</v>
      </c>
      <c r="F110" s="29" t="s">
        <v>140</v>
      </c>
      <c r="G110" s="25" t="s">
        <v>38</v>
      </c>
      <c r="H110" s="30" t="n">
        <v>0.2</v>
      </c>
      <c r="I110" s="31" t="n">
        <v>46342.0</v>
      </c>
      <c r="J110" s="31" t="n">
        <f>WORKDAY(I110,ROUND(H110*5,0)-1)</f>
        <v>46342.0</v>
      </c>
      <c r="K110" s="31"/>
      <c r="L110" s="31"/>
      <c r="M110" s="32" t="str">
        <f>IF(OR(ISBLANK(K110),ISBLANK(L110)),"",NETWORKDAYS(K110,L110)/5)</f>
        <v/>
      </c>
      <c r="N110" s="33"/>
      <c r="O110" s="25" t="str">
        <f>IF($N110&gt;=1,"Completed",
 IF($N110=0,"Not Started",
 "In Progress"))</f>
        <v>Not Started</v>
      </c>
      <c r="P110" s="25" t="str">
        <f>IF($N110&gt;=1,
    IF($M110&gt;$K110,"Delayed","On Track"),
 IF(TODAY()&lt;$J110,
    "On Track",
 IF(AND($N110=0,TODAY()&gt;$K110),
    "Delayed",
 IF(AND($L110&lt;&gt;"",$L110&gt;$J110),
    "At Risk",
 IF(TODAY()&gt;$K110,
    "Delayed",
 "On Track")))))</f>
        <v>On Track</v>
      </c>
      <c r="Q110" s="139" t="s">
        <v>38</v>
      </c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X110" s="36"/>
      <c r="BY110" s="36"/>
      <c r="BZ110" s="36"/>
      <c r="CA110" s="36"/>
      <c r="CB110" s="36"/>
      <c r="CC110" s="36"/>
      <c r="CD110" s="36"/>
    </row>
    <row r="111">
      <c r="A111" s="25" t="n">
        <v>104.0</v>
      </c>
      <c r="B111" s="26" t="s">
        <v>33</v>
      </c>
      <c r="C111" s="27" t="s">
        <v>213</v>
      </c>
      <c r="D111" s="28" t="s">
        <v>221</v>
      </c>
      <c r="E111" s="28" t="s">
        <v>141</v>
      </c>
      <c r="F111" s="29" t="s">
        <v>179</v>
      </c>
      <c r="G111" s="25" t="s">
        <v>38</v>
      </c>
      <c r="H111" s="30" t="n">
        <v>0.2</v>
      </c>
      <c r="I111" s="31" t="n">
        <v>46342.0</v>
      </c>
      <c r="J111" s="31" t="n">
        <f>WORKDAY(I111,ROUND(H111*5,0)-1)</f>
        <v>46342.0</v>
      </c>
      <c r="K111" s="31"/>
      <c r="L111" s="31"/>
      <c r="M111" s="32" t="str">
        <f>IF(OR(ISBLANK(K111),ISBLANK(L111)),"",NETWORKDAYS(K111,L111)/5)</f>
        <v/>
      </c>
      <c r="N111" s="33"/>
      <c r="O111" s="25" t="str">
        <f>IF($N111&gt;=1,"Completed",
 IF($N111=0,"Not Started",
 "In Progress"))</f>
        <v>Not Started</v>
      </c>
      <c r="P111" s="25" t="str">
        <f>IF($N111&gt;=1,
    IF($M111&gt;$K111,"Delayed","On Track"),
 IF(TODAY()&lt;$J111,
    "On Track",
 IF(AND($N111=0,TODAY()&gt;$K111),
    "Delayed",
 IF(AND($L111&lt;&gt;"",$L111&gt;$J111),
    "At Risk",
 IF(TODAY()&gt;$K111,
    "Delayed",
 "On Track")))))</f>
        <v>On Track</v>
      </c>
      <c r="Q111" s="140" t="s">
        <v>38</v>
      </c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X111" s="36"/>
      <c r="BY111" s="36"/>
      <c r="BZ111" s="36"/>
      <c r="CA111" s="36"/>
      <c r="CB111" s="36"/>
      <c r="CC111" s="36"/>
      <c r="CD111" s="36"/>
    </row>
    <row r="112">
      <c r="A112" s="25" t="n">
        <v>105.0</v>
      </c>
      <c r="B112" s="26" t="s">
        <v>33</v>
      </c>
      <c r="C112" s="27" t="s">
        <v>213</v>
      </c>
      <c r="D112" s="28" t="s">
        <v>221</v>
      </c>
      <c r="E112" s="28" t="s">
        <v>176</v>
      </c>
      <c r="F112" s="29" t="s">
        <v>223</v>
      </c>
      <c r="G112" s="25" t="s">
        <v>38</v>
      </c>
      <c r="H112" s="30" t="n">
        <v>0.2</v>
      </c>
      <c r="I112" s="31" t="n">
        <v>46342.0</v>
      </c>
      <c r="J112" s="31" t="n">
        <f>WORKDAY(I112,ROUND(H112*5,0)-1)</f>
        <v>46342.0</v>
      </c>
      <c r="K112" s="31"/>
      <c r="L112" s="31"/>
      <c r="M112" s="32" t="str">
        <f>IF(OR(ISBLANK(K112),ISBLANK(L112)),"",NETWORKDAYS(K112,L112)/5)</f>
        <v/>
      </c>
      <c r="N112" s="33"/>
      <c r="O112" s="25" t="str">
        <f>IF($N112&gt;=1,"Completed",
 IF($N112=0,"Not Started",
 "In Progress"))</f>
        <v>Not Started</v>
      </c>
      <c r="P112" s="25" t="str">
        <f>IF($N112&gt;=1,
    IF($M112&gt;$K112,"Delayed","On Track"),
 IF(TODAY()&lt;$J112,
    "On Track",
 IF(AND($N112=0,TODAY()&gt;$K112),
    "Delayed",
 IF(AND($L112&lt;&gt;"",$L112&gt;$J112),
    "At Risk",
 IF(TODAY()&gt;$K112,
    "Delayed",
 "On Track")))))</f>
        <v>On Track</v>
      </c>
      <c r="Q112" s="141" t="s">
        <v>38</v>
      </c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X112" s="36"/>
      <c r="BY112" s="36"/>
      <c r="BZ112" s="36"/>
      <c r="CA112" s="36"/>
      <c r="CB112" s="36"/>
      <c r="CC112" s="36"/>
      <c r="CD112" s="36"/>
    </row>
    <row r="113">
      <c r="A113" s="25" t="n">
        <v>106.0</v>
      </c>
      <c r="B113" s="26" t="s">
        <v>33</v>
      </c>
      <c r="C113" s="27" t="s">
        <v>213</v>
      </c>
      <c r="D113" s="28" t="s">
        <v>224</v>
      </c>
      <c r="E113" s="28" t="s">
        <v>225</v>
      </c>
      <c r="F113" s="29" t="s">
        <v>226</v>
      </c>
      <c r="G113" s="25" t="s">
        <v>38</v>
      </c>
      <c r="H113" s="30" t="n">
        <v>0.6</v>
      </c>
      <c r="I113" s="31" t="n">
        <v>46342.0</v>
      </c>
      <c r="J113" s="31" t="n">
        <f>WORKDAY(I113,ROUND(H113*5,0)-1)</f>
        <v>46344.0</v>
      </c>
      <c r="K113" s="31"/>
      <c r="L113" s="31"/>
      <c r="M113" s="32" t="str">
        <f>IF(OR(ISBLANK(K113),ISBLANK(L113)),"",NETWORKDAYS(K113,L113)/5)</f>
        <v/>
      </c>
      <c r="N113" s="33"/>
      <c r="O113" s="25" t="str">
        <f>IF($N113&gt;=1,"Completed",
 IF($N113=0,"Not Started",
 "In Progress"))</f>
        <v>Not Started</v>
      </c>
      <c r="P113" s="25" t="str">
        <f>IF($N113&gt;=1,
    IF($M113&gt;$K113,"Delayed","On Track"),
 IF(TODAY()&lt;$J113,
    "On Track",
 IF(AND($N113=0,TODAY()&gt;$K113),
    "Delayed",
 IF(AND($L113&lt;&gt;"",$L113&gt;$J113),
    "At Risk",
 IF(TODAY()&gt;$K113,
    "Delayed",
 "On Track")))))</f>
        <v>On Track</v>
      </c>
      <c r="Q113" s="142" t="s">
        <v>38</v>
      </c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X113" s="36"/>
      <c r="BY113" s="36"/>
      <c r="BZ113" s="36"/>
      <c r="CA113" s="36"/>
      <c r="CB113" s="36"/>
      <c r="CC113" s="36"/>
      <c r="CD113" s="36"/>
    </row>
    <row r="114">
      <c r="A114" s="25" t="n">
        <v>107.0</v>
      </c>
      <c r="B114" s="26" t="s">
        <v>33</v>
      </c>
      <c r="C114" s="27" t="s">
        <v>213</v>
      </c>
      <c r="D114" s="28" t="s">
        <v>227</v>
      </c>
      <c r="E114" s="28" t="s">
        <v>228</v>
      </c>
      <c r="F114" s="29" t="s">
        <v>229</v>
      </c>
      <c r="G114" s="25" t="s">
        <v>38</v>
      </c>
      <c r="H114" s="30" t="n">
        <v>0.8</v>
      </c>
      <c r="I114" s="31" t="n">
        <v>46342.0</v>
      </c>
      <c r="J114" s="31" t="n">
        <f>WORKDAY(I114,ROUND(H114*5,0)-1)</f>
        <v>46345.0</v>
      </c>
      <c r="K114" s="31"/>
      <c r="L114" s="31"/>
      <c r="M114" s="32" t="str">
        <f>IF(OR(ISBLANK(K114),ISBLANK(L114)),"",NETWORKDAYS(K114,L114)/5)</f>
        <v/>
      </c>
      <c r="N114" s="33"/>
      <c r="O114" s="25" t="str">
        <f>IF($N114&gt;=1,"Completed",
 IF($N114=0,"Not Started",
 "In Progress"))</f>
        <v>Not Started</v>
      </c>
      <c r="P114" s="25" t="str">
        <f>IF($N114&gt;=1,
    IF($M114&gt;$K114,"Delayed","On Track"),
 IF(TODAY()&lt;$J114,
    "On Track",
 IF(AND($N114=0,TODAY()&gt;$K114),
    "Delayed",
 IF(AND($L114&lt;&gt;"",$L114&gt;$J114),
    "At Risk",
 IF(TODAY()&gt;$K114,
    "Delayed",
 "On Track")))))</f>
        <v>On Track</v>
      </c>
      <c r="Q114" s="143" t="s">
        <v>38</v>
      </c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X114" s="36"/>
      <c r="BY114" s="36"/>
      <c r="BZ114" s="36"/>
      <c r="CA114" s="36"/>
      <c r="CB114" s="36"/>
      <c r="CC114" s="36"/>
      <c r="CD114" s="36"/>
    </row>
    <row r="115">
      <c r="A115" s="25" t="n">
        <v>108.0</v>
      </c>
      <c r="B115" s="26" t="s">
        <v>33</v>
      </c>
      <c r="C115" s="27" t="s">
        <v>230</v>
      </c>
      <c r="D115" s="28" t="s">
        <v>231</v>
      </c>
      <c r="E115" s="28" t="s">
        <v>227</v>
      </c>
      <c r="F115" s="29" t="s">
        <v>232</v>
      </c>
      <c r="G115" s="25" t="s">
        <v>38</v>
      </c>
      <c r="H115" s="30" t="n">
        <v>1.5</v>
      </c>
      <c r="I115" s="31" t="n">
        <v>46343.0</v>
      </c>
      <c r="J115" s="31" t="n">
        <f>WORKDAY(I115,ROUND(H115*5,0)-1)</f>
        <v>46352.0</v>
      </c>
      <c r="K115" s="31"/>
      <c r="L115" s="31"/>
      <c r="M115" s="32" t="str">
        <f>IF(OR(ISBLANK(K115),ISBLANK(L115)),"",NETWORKDAYS(K115,L115)/5)</f>
        <v/>
      </c>
      <c r="N115" s="33"/>
      <c r="O115" s="25" t="str">
        <f>IF($N115&gt;=1,"Completed",
 IF($N115=0,"Not Started",
 "In Progress"))</f>
        <v>Not Started</v>
      </c>
      <c r="P115" s="25" t="str">
        <f>IF($N115&gt;=1,
    IF($M115&gt;$K115,"Delayed","On Track"),
 IF(TODAY()&lt;$J115,
    "On Track",
 IF(AND($N115=0,TODAY()&gt;$K115),
    "Delayed",
 IF(AND($L115&lt;&gt;"",$L115&gt;$J115),
    "At Risk",
 IF(TODAY()&gt;$K115,
    "Delayed",
 "On Track")))))</f>
        <v>On Track</v>
      </c>
      <c r="Q115" s="144" t="s">
        <v>38</v>
      </c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X115" s="36"/>
      <c r="BY115" s="36"/>
      <c r="BZ115" s="36"/>
      <c r="CA115" s="36"/>
      <c r="CB115" s="36"/>
      <c r="CC115" s="36"/>
      <c r="CD115" s="36"/>
    </row>
    <row r="116">
      <c r="A116" s="25" t="n">
        <v>109.0</v>
      </c>
      <c r="B116" s="26" t="s">
        <v>33</v>
      </c>
      <c r="C116" s="27" t="s">
        <v>230</v>
      </c>
      <c r="D116" s="28" t="s">
        <v>224</v>
      </c>
      <c r="E116" s="28" t="s">
        <v>233</v>
      </c>
      <c r="F116" s="29" t="s">
        <v>234</v>
      </c>
      <c r="G116" s="25" t="s">
        <v>38</v>
      </c>
      <c r="H116" s="30" t="n">
        <v>1.2</v>
      </c>
      <c r="I116" s="31" t="n">
        <v>46343.0</v>
      </c>
      <c r="J116" s="31" t="n">
        <f>WORKDAY(I116,ROUND(H116*5,0)-1)</f>
        <v>46350.0</v>
      </c>
      <c r="K116" s="31"/>
      <c r="L116" s="31"/>
      <c r="M116" s="32" t="str">
        <f>IF(OR(ISBLANK(K116),ISBLANK(L116)),"",NETWORKDAYS(K116,L116)/5)</f>
        <v/>
      </c>
      <c r="N116" s="33"/>
      <c r="O116" s="25" t="str">
        <f>IF($N116&gt;=1,"Completed",
 IF($N116=0,"Not Started",
 "In Progress"))</f>
        <v>Not Started</v>
      </c>
      <c r="P116" s="25" t="str">
        <f>IF($N116&gt;=1,
    IF($M116&gt;$K116,"Delayed","On Track"),
 IF(TODAY()&lt;$J116,
    "On Track",
 IF(AND($N116=0,TODAY()&gt;$K116),
    "Delayed",
 IF(AND($L116&lt;&gt;"",$L116&gt;$J116),
    "At Risk",
 IF(TODAY()&gt;$K116,
    "Delayed",
 "On Track")))))</f>
        <v>On Track</v>
      </c>
      <c r="Q116" s="145" t="s">
        <v>38</v>
      </c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X116" s="36"/>
      <c r="BY116" s="36"/>
      <c r="BZ116" s="36"/>
      <c r="CA116" s="36"/>
      <c r="CB116" s="36"/>
      <c r="CC116" s="36"/>
      <c r="CD116" s="36"/>
    </row>
    <row r="117">
      <c r="A117" s="25" t="n">
        <v>110.0</v>
      </c>
      <c r="B117" s="26" t="s">
        <v>33</v>
      </c>
      <c r="C117" s="27" t="s">
        <v>230</v>
      </c>
      <c r="D117" s="28" t="s">
        <v>235</v>
      </c>
      <c r="E117" s="28" t="s">
        <v>186</v>
      </c>
      <c r="F117" s="29" t="s">
        <v>236</v>
      </c>
      <c r="G117" s="25" t="s">
        <v>38</v>
      </c>
      <c r="H117" s="30" t="n">
        <v>1.2</v>
      </c>
      <c r="I117" s="31" t="n">
        <v>46344.0</v>
      </c>
      <c r="J117" s="31" t="n">
        <f>WORKDAY(I117,ROUND(H117*5,0)-1)</f>
        <v>46351.0</v>
      </c>
      <c r="K117" s="31"/>
      <c r="L117" s="31"/>
      <c r="M117" s="32" t="str">
        <f>IF(OR(ISBLANK(K117),ISBLANK(L117)),"",NETWORKDAYS(K117,L117)/5)</f>
        <v/>
      </c>
      <c r="N117" s="33"/>
      <c r="O117" s="25" t="str">
        <f>IF($N117&gt;=1,"Completed",
 IF($N117=0,"Not Started",
 "In Progress"))</f>
        <v>Not Started</v>
      </c>
      <c r="P117" s="25" t="str">
        <f>IF($N117&gt;=1,
    IF($M117&gt;$K117,"Delayed","On Track"),
 IF(TODAY()&lt;$J117,
    "On Track",
 IF(AND($N117=0,TODAY()&gt;$K117),
    "Delayed",
 IF(AND($L117&lt;&gt;"",$L117&gt;$J117),
    "At Risk",
 IF(TODAY()&gt;$K117,
    "Delayed",
 "On Track")))))</f>
        <v>On Track</v>
      </c>
      <c r="Q117" s="146" t="s">
        <v>38</v>
      </c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X117" s="36"/>
      <c r="BY117" s="36"/>
      <c r="BZ117" s="36"/>
      <c r="CA117" s="36"/>
      <c r="CB117" s="36"/>
      <c r="CC117" s="36"/>
      <c r="CD117" s="36"/>
    </row>
    <row r="118">
      <c r="A118" s="25" t="n">
        <v>111.0</v>
      </c>
      <c r="B118" s="26" t="s">
        <v>33</v>
      </c>
      <c r="C118" s="27" t="s">
        <v>230</v>
      </c>
      <c r="D118" s="28" t="s">
        <v>237</v>
      </c>
      <c r="E118" s="28" t="s">
        <v>238</v>
      </c>
      <c r="F118" s="29" t="s">
        <v>239</v>
      </c>
      <c r="G118" s="25" t="s">
        <v>38</v>
      </c>
      <c r="H118" s="30" t="n">
        <v>0.6</v>
      </c>
      <c r="I118" s="31" t="n">
        <v>46351.0</v>
      </c>
      <c r="J118" s="31" t="n">
        <f>WORKDAY(I118,ROUND(H118*5,0)-1)</f>
        <v>46353.0</v>
      </c>
      <c r="K118" s="31"/>
      <c r="L118" s="31"/>
      <c r="M118" s="32" t="str">
        <f>IF(OR(ISBLANK(K118),ISBLANK(L118)),"",NETWORKDAYS(K118,L118)/5)</f>
        <v/>
      </c>
      <c r="N118" s="33"/>
      <c r="O118" s="25" t="str">
        <f>IF($N118&gt;=1,"Completed",
 IF($N118=0,"Not Started",
 "In Progress"))</f>
        <v>Not Started</v>
      </c>
      <c r="P118" s="25" t="str">
        <f>IF($N118&gt;=1,
    IF($M118&gt;$K118,"Delayed","On Track"),
 IF(TODAY()&lt;$J118,
    "On Track",
 IF(AND($N118=0,TODAY()&gt;$K118),
    "Delayed",
 IF(AND($L118&lt;&gt;"",$L118&gt;$J118),
    "At Risk",
 IF(TODAY()&gt;$K118,
    "Delayed",
 "On Track")))))</f>
        <v>On Track</v>
      </c>
      <c r="Q118" s="147" t="s">
        <v>38</v>
      </c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X118" s="36"/>
      <c r="BY118" s="36"/>
      <c r="BZ118" s="36"/>
      <c r="CA118" s="36"/>
      <c r="CB118" s="36"/>
      <c r="CC118" s="36"/>
      <c r="CD118" s="36"/>
    </row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9">
    <mergeCell ref="A1:P1"/>
    <mergeCell ref="A2:C2"/>
    <mergeCell ref="D2:P2"/>
    <mergeCell ref="R2:Y2"/>
    <mergeCell ref="Z2:AE2"/>
    <mergeCell ref="AF2:BU2"/>
    <mergeCell ref="A3:C3"/>
    <mergeCell ref="D3:P3"/>
    <mergeCell ref="R3:Y3"/>
    <mergeCell ref="Z3:AE3"/>
    <mergeCell ref="AF3:BU3"/>
    <mergeCell ref="A4:C4"/>
    <mergeCell ref="D4:P4"/>
    <mergeCell ref="R4:BU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R5:X5"/>
    <mergeCell ref="Y5:AE5"/>
    <mergeCell ref="AF5:AL5"/>
    <mergeCell ref="AM5:AS5"/>
    <mergeCell ref="AT5:AZ5"/>
    <mergeCell ref="BA5:BG5"/>
    <mergeCell ref="BH5:BN5"/>
    <mergeCell ref="BO5:BU5"/>
    <mergeCell ref="BX8:CD8"/>
  </mergeCells>
  <conditionalFormatting sqref="P8">
    <cfRule type="expression" priority="2" aboveAverage="0" equalAverage="0" bottom="0" percent="0" rank="0" text="" dxfId="0">
      <formula>$P8="At Risk"</formula>
    </cfRule>
    <cfRule type="expression" priority="3" aboveAverage="0" equalAverage="0" bottom="0" percent="0" rank="0" text="" dxfId="1">
      <formula>$P8="On Track"</formula>
    </cfRule>
    <cfRule type="expression" priority="4" aboveAverage="0" equalAverage="0" bottom="0" percent="0" rank="0" text="" dxfId="2">
      <formula>$P8="Delayed"</formula>
    </cfRule>
  </conditionalFormatting>
  <conditionalFormatting sqref="F8">
    <cfRule type="expression" priority="5" aboveAverage="0" equalAverage="0" bottom="0" percent="0" rank="0" text="" dxfId="3">
      <formula>AND($O8&lt;&gt;"",EXACT($O8,"In Progress"))</formula>
    </cfRule>
    <cfRule type="expression" priority="6" aboveAverage="0" equalAverage="0" bottom="0" percent="0" rank="0" text="" dxfId="4">
      <formula>AND($O8&lt;&gt;"",EXACT($O8,"Completed"))</formula>
    </cfRule>
    <cfRule type="expression" priority="7" aboveAverage="0" equalAverage="0" bottom="0" percent="0" rank="0" text="" dxfId="5">
      <formula>AND($O8&lt;&gt;"",EXACT($O8,"At Risk"))</formula>
    </cfRule>
    <cfRule type="expression" priority="8" aboveAverage="0" equalAverage="0" bottom="0" percent="0" rank="0" text="" dxfId="6">
      <formula>AND($O8&lt;&gt;"",EXACT($O8,"Delayed"))</formula>
    </cfRule>
  </conditionalFormatting>
  <conditionalFormatting sqref="O8">
    <cfRule type="expression" priority="9" aboveAverage="0" equalAverage="0" bottom="0" percent="0" rank="0" text="" dxfId="7">
      <formula>$O8="In Progress"</formula>
    </cfRule>
    <cfRule type="expression" priority="10" aboveAverage="0" equalAverage="0" bottom="0" percent="0" rank="0" text="" dxfId="8">
      <formula>$O8="Completed"</formula>
    </cfRule>
  </conditionalFormatting>
  <conditionalFormatting sqref="R6:BU8">
    <cfRule type="expression" priority="11" aboveAverage="0" equalAverage="0" bottom="0" percent="0" rank="0" text="" dxfId="9">
      <formula>AND(TODAY()&gt;=R$6, TODAY()&lt;S$6)</formula>
    </cfRule>
  </conditionalFormatting>
  <conditionalFormatting sqref="R8:BU8">
    <cfRule type="expression" priority="12" aboveAverage="0" equalAverage="0" bottom="0" percent="0" rank="0" text="" dxfId="10">
      <formula>AND(task_start&lt;=R$6,ROUNDDOWN((task_end-task_start+1)*task_progress,0)+task_start-1&gt;=R$6)</formula>
    </cfRule>
    <cfRule type="expression" priority="13" aboveAverage="0" equalAverage="0" bottom="0" percent="0" rank="0" text="" dxfId="11">
      <formula>AND(task_end&gt;=R$6,task_start&lt;S$6)</formula>
    </cfRule>
  </conditionalFormatting>
  <conditionalFormatting sqref="N8">
    <cfRule type="dataBar" priority="14">
      <dataBar showValue="1" minLength="10" maxLength="90">
        <cfvo type="min" val="0"/>
        <cfvo type="max" val="0"/>
        <color rgb="FF4E95D9"/>
      </dataBar>
      <extLst>
        <ext uri="{B025F937-C7B1-47D3-B67F-A62EFF666E3E}">
          <x14:id>{47D0D360-C06B-4C7C-94E7-971D4A244FDB}</x14:id>
        </ext>
      </extLst>
    </cfRule>
  </conditionalFormatting>
  <conditionalFormatting sqref="C8">
    <cfRule type="expression" priority="15" aboveAverage="0" equalAverage="0" bottom="0" percent="0" rank="0" text="" dxfId="12">
      <formula>AND($B8&lt;&gt;"", COUNTIFS($B$8:$B$103,$B8,$O$8:$O$103,"Delayed")=0, COUNTIFS($B$8:$B$103,$B8,$O$8:$O$103,"At Risk")&gt;0)</formula>
    </cfRule>
    <cfRule type="expression" priority="16" aboveAverage="0" equalAverage="0" bottom="0" percent="0" rank="0" text="" dxfId="13">
      <formula>AND($B8&lt;&gt;"", COUNTIFS($B$8:$B$103,$B8,$O$8:$O$103,"Delayed")&gt;0)</formula>
    </cfRule>
    <cfRule type="expression" priority="17" aboveAverage="0" equalAverage="0" bottom="0" percent="0" rank="0" text="" dxfId="14">
      <formula>AND($B8&lt;&gt;"", COUNTIFS($B$8:$B$103,$B8,$O$8:$O$103,"Delayed")=0, COUNTIFS($B$8:$B$103,$B8,$O$8:$O$103,"At Risk")=0, COUNTIFS($B$8:$B$103,$B8,$O$8:$O$103,"In Progress")&gt;0)</formula>
    </cfRule>
    <cfRule type="expression" priority="18" aboveAverage="0" equalAverage="0" bottom="0" percent="0" rank="0" text="" dxfId="15">
      <formula>AND($B8&lt;&gt;"",COUNTIFS($B$8:$B$103,$B8,$O$8:$O$103,"&lt;&gt;Completed")=0)</formula>
    </cfRule>
  </conditionalFormatting>
  <conditionalFormatting sqref="D8">
    <cfRule type="expression" priority="19" aboveAverage="0" equalAverage="0" bottom="0" percent="0" rank="0" text="" dxfId="16">
      <formula>AND($D8&lt;&gt;"", COUNTIFS($D$8:$D$103,$D8,$O$8:$O$103,"Delayed")=0, COUNTIFS($D$8:$D$103,$D8,$O$8:$O$103,"At Risk")&gt;0)</formula>
    </cfRule>
    <cfRule type="expression" priority="20" aboveAverage="0" equalAverage="0" bottom="0" percent="0" rank="0" text="" dxfId="17">
      <formula>AND($D8&lt;&gt;"",COUNTIFS($D$8:$D$103,$D8,$O$8:$O$103,"Delayed")&gt;0)</formula>
    </cfRule>
    <cfRule type="expression" priority="21" aboveAverage="0" equalAverage="0" bottom="0" percent="0" rank="0" text="" dxfId="18">
      <formula>AND($D8&lt;&gt;"", COUNTIFS($D$8:$D$103,$D8,$O$8:$O$103,"Delayed")=0, COUNTIFS($D$8:$D$103,$D8,$O$8:$O$103,"In Progress")&gt;0)</formula>
    </cfRule>
    <cfRule type="expression" priority="22" aboveAverage="0" equalAverage="0" bottom="0" percent="0" rank="0" text="" dxfId="19">
      <formula>AND($D8&lt;&gt;"",COUNTIFS($D$8:$D$103,$D8,$O$8:$O$103,"&lt;&gt;Completed")=0)</formula>
    </cfRule>
  </conditionalFormatting>
  <conditionalFormatting sqref="E8">
    <cfRule type="expression" priority="23" aboveAverage="0" equalAverage="0" bottom="0" percent="0" rank="0" text="" dxfId="20">
      <formula>AND($E8&lt;&gt;"",COUNTIFS($E$8:$E$103,$E8,$O$8:$O$103,"At Risk")&gt;0)</formula>
    </cfRule>
    <cfRule type="expression" priority="24" aboveAverage="0" equalAverage="0" bottom="0" percent="0" rank="0" text="" dxfId="21">
      <formula>AND($E8&lt;&gt;"",COUNTIFS($E$8:$E$103,$E8,$O$8:$O$103,"Delayed")&gt;0)</formula>
    </cfRule>
    <cfRule type="expression" priority="25" aboveAverage="0" equalAverage="0" bottom="0" percent="0" rank="0" text="" dxfId="22">
      <formula>AND($E8&lt;&gt;"", COUNTIFS($E$8:$E$103,$E8,$O$8:$O$103,"In Progress")&gt;0, COUNTIFS($E$8:$E$103,$E8,$O$8:$O$103,"Completed")&lt;COUNTIFS($E$8:$E$103,$E8,$F$8:$F$103,"&lt;&gt;"))</formula>
    </cfRule>
    <cfRule type="expression" priority="26" aboveAverage="0" equalAverage="0" bottom="0" percent="0" rank="0" text="" dxfId="23">
      <formula>AND($E8&lt;&gt;"",COUNTIFS($E$8:$E$103,$E8,$O$8:$O$103,"&lt;&gt;Completed")=0)</formula>
    </cfRule>
  </conditionalFormatting>
  <printOptions headings="false" gridLines="false" gridLinesSet="true" horizontalCentered="true" verticalCentered="false"/>
  <pageMargins left="0.35" right="0.35" top="0.35" bottom="0.347222222222222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  <legacyDrawing r:id="rId2"/>
  <extLst>
    <ext uri="{78C0D931-6437-407d-A8EE-F0AAD7539E65}">
      <x14:conditionalFormattings>
        <x14:conditionalFormatting xmlns:xm="http://schemas.microsoft.com/office/excel/2006/main">
          <x14:cfRule type="dataBar" id="{47D0D360-C06B-4C7C-94E7-971D4A244FDB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N8</xm:sqref>
        </x14:conditionalFormatting>
      </x14:conditionalFormattings>
    </ext>
  </extLst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245281-08F3-4104-84BD-39F3D8CFB195}"/>
</file>

<file path=customXml/itemProps2.xml><?xml version="1.0" encoding="utf-8"?>
<ds:datastoreItem xmlns:ds="http://schemas.openxmlformats.org/officeDocument/2006/customXml" ds:itemID="{A82239A0-E68C-493F-BEE6-C77FEA397FD6}"/>
</file>

<file path=customXml/itemProps3.xml><?xml version="1.0" encoding="utf-8"?>
<ds:datastoreItem xmlns:ds="http://schemas.openxmlformats.org/officeDocument/2006/customXml" ds:itemID="{C2348D59-3426-404A-A0C5-6456F6613EDB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TotalTime>117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2026-04-16T07:39:30Z</dcterms:created>
  <dc:language>en-IN</dc:language>
  <dcterms:modified xsi:type="dcterms:W3CDTF">2026-07-06T15:10:53Z</dcterms:modified>
  <cp:revision>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