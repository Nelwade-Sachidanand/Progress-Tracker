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pivotCache/_rels/pivotCacheDefinition1.xml.rels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package.relationships+xml" PartName="/xl/pivotTables/_rels/pivotTable1.xml.rels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4" sheetId="1" state="visible" r:id="rId3"/>
    <sheet name="FinWiz_Project_Schedule" sheetId="2" state="visible" r:id="rId4"/>
    <sheet name="Sheet1" sheetId="3" state="visible" r:id="rId5"/>
  </sheets>
  <definedNames>
    <definedName function="false" hidden="false" localSheetId="1" name="_xlnm.Print_Titles" vbProcedure="false">FinWiz_Project_Schedule!$5:$7</definedName>
    <definedName function="false" hidden="false" name="Actual_End" vbProcedure="false">FinWiz_Project_Schedule!$L$8</definedName>
    <definedName function="false" hidden="false" name="Display_Week" vbProcedure="false">FinWiz_Project_Schedule!$AA$3</definedName>
    <definedName function="false" hidden="false" name="Planned_End" vbProcedure="false">FinWiz_Project_Schedule!$J$8</definedName>
    <definedName function="false" hidden="false" name="Progress" vbProcedure="false">FinWiz_Project_Schedule!$N$8</definedName>
    <definedName function="false" hidden="false" name="Project_Start" vbProcedure="false">FinWiz_Project_Schedule!$AA$2</definedName>
    <definedName function="false" hidden="false" localSheetId="1" name="task_end" vbProcedure="false">FinWiz_Project_Schedule!$L1</definedName>
    <definedName function="false" hidden="false" localSheetId="1" name="task_progress" vbProcedure="false">FinWiz_Project_Schedule!$E1</definedName>
    <definedName function="false" hidden="false" localSheetId="1" name="task_start" vbProcedure="false">FinWiz_Project_Schedule!$K1</definedName>
    <definedName function="false" hidden="false" localSheetId="1" name="today" vbProcedure="false">TODAY()</definedName>
  </definedNames>
  <calcPr iterateCount="100" refMode="A1" iterate="false" iterateDelta="0.0001" fullCalcOnLoad="true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<sst xmlns="http://schemas.openxmlformats.org/spreadsheetml/2006/main" count="421" uniqueCount="158">
  <si>
    <t xml:space="preserve">Sr. No.</t>
  </si>
  <si>
    <t xml:space="preserve">Milestone</t>
  </si>
  <si>
    <t xml:space="preserve">Task</t>
  </si>
  <si>
    <t xml:space="preserve">Sub-Task</t>
  </si>
  <si>
    <t xml:space="preserve">Activity</t>
  </si>
  <si>
    <t xml:space="preserve">(empty)</t>
  </si>
  <si>
    <t xml:space="preserve">Project Initiation &amp; Governance</t>
  </si>
  <si>
    <t xml:space="preserve">Project Kickoff</t>
  </si>
  <si>
    <t xml:space="preserve">Kickoff Meeting</t>
  </si>
  <si>
    <t xml:space="preserve">Introduce stakeholders</t>
  </si>
  <si>
    <t xml:space="preserve">Total Result</t>
  </si>
  <si>
    <t xml:space="preserve">Novillex Technologies Pvt Ltd.</t>
  </si>
  <si>
    <t xml:space="preserve">Name of Bank:</t>
  </si>
  <si>
    <t xml:space="preserve">Deogiri Nagari Sahakari Bank Ltd.,</t>
  </si>
  <si>
    <t xml:space="preserve">Name of Project:</t>
  </si>
  <si>
    <t xml:space="preserve">Deogiri Sarathi</t>
  </si>
  <si>
    <t xml:space="preserve">Project Manager:</t>
  </si>
  <si>
    <t xml:space="preserve">Manoj Kulkarni / Pranav Kashilkar</t>
  </si>
  <si>
    <t xml:space="preserve">Phase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</si>
  <si>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</si>
  <si>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</si>
  <si>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</si>
  <si>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</si>
  <si>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</si>
  <si>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</si>
  <si>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</si>
  <si>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</si>
  <si>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</si>
  <si>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</si>
  <si>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Remark</t>
  </si>
  <si>
    <t xml:space="preserve">Phase-1</t>
  </si>
  <si>
    <t xml:space="preserve">Font</t>
  </si>
  <si>
    <t xml:space="preserve">Cambria</t>
  </si>
  <si>
    <t xml:space="preserve">Chart/Graph</t>
  </si>
  <si>
    <t xml:space="preserve">Requirement</t>
  </si>
  <si>
    <t xml:space="preserve">Task wise Bar chart</t>
  </si>
  <si>
    <t xml:space="preserve">Planned vs Achieved</t>
  </si>
  <si>
    <t xml:space="preserve">Task wise Doughnut chart</t>
  </si>
  <si>
    <t xml:space="preserve">Doughnut Graft with Percentage</t>
  </si>
  <si>
    <t xml:space="preserve">Phase Wise Bar Chart</t>
  </si>
  <si>
    <t xml:space="preserve">Phase wise Doughnut chart</t>
  </si>
  <si>
    <t xml:space="preserve">Overall Bar chart</t>
  </si>
  <si>
    <t xml:space="preserve">Overall Doughnut chart</t>
  </si>
  <si>
    <t>ABC Co-Op Bank Ltd., Beed (ABC Bank)</t>
  </si>
  <si>
    <t>FinWiz_CBS</t>
  </si>
  <si>
    <t>Pranav Kashikar</t>
  </si>
  <si>
    <t>Phase-1</t>
  </si>
  <si>
    <t>M01 - Project Initiation &amp; Governance</t>
  </si>
  <si>
    <t>Project Kickoff</t>
  </si>
  <si>
    <t>Kickoff Meeting</t>
  </si>
  <si>
    <t>Introduce stakeholders</t>
  </si>
  <si>
    <t/>
  </si>
  <si>
    <t>Define scope objectives success criteria</t>
  </si>
  <si>
    <t>Identify stakeholders Business IT Ops Finance</t>
  </si>
  <si>
    <t>Governance Setup</t>
  </si>
  <si>
    <t>Governance Model</t>
  </si>
  <si>
    <t>Steering committee formation</t>
  </si>
  <si>
    <t>Define escalation matrix</t>
  </si>
  <si>
    <t>Define approval hierarchy</t>
  </si>
  <si>
    <t>Project Planning</t>
  </si>
  <si>
    <t>Implementation Planning</t>
  </si>
  <si>
    <t>Define timelines milestones</t>
  </si>
  <si>
    <t>Resource allocation Bank Vendor</t>
  </si>
  <si>
    <t>Risk identification</t>
  </si>
  <si>
    <t>Communication Setup</t>
  </si>
  <si>
    <t>Reporting Framework</t>
  </si>
  <si>
    <t>Define reporting cadence</t>
  </si>
  <si>
    <t>Setup status templates</t>
  </si>
  <si>
    <t>Define escalation reporting</t>
  </si>
  <si>
    <t>M02 - Data Migration – Iteration 1</t>
  </si>
  <si>
    <t>Data Understanding</t>
  </si>
  <si>
    <t>Source Analysis</t>
  </si>
  <si>
    <t>Study legacy CBS</t>
  </si>
  <si>
    <t>Identify data sources</t>
  </si>
  <si>
    <t>History Data Migration</t>
  </si>
  <si>
    <t>Data Mapping</t>
  </si>
  <si>
    <t>Mapping Definition</t>
  </si>
  <si>
    <t>Map legacy to CBS fields</t>
  </si>
  <si>
    <t>Define transformation logic</t>
  </si>
  <si>
    <t>Data Cleansing</t>
  </si>
  <si>
    <t>Data Quality</t>
  </si>
  <si>
    <t>Remove duplicates</t>
  </si>
  <si>
    <t>Correct inconsistencies</t>
  </si>
  <si>
    <t>Migration Execution</t>
  </si>
  <si>
    <t>Trial Migration</t>
  </si>
  <si>
    <t>Load customer data</t>
  </si>
  <si>
    <t>Load account data</t>
  </si>
  <si>
    <t>Load Transaction data</t>
  </si>
  <si>
    <t>Validation &amp; Reconciliation</t>
  </si>
  <si>
    <t>Data Validation</t>
  </si>
  <si>
    <t>Migrated Data Validation*</t>
  </si>
  <si>
    <t>Financial Validation</t>
  </si>
  <si>
    <t>Financial Report Validation*</t>
  </si>
  <si>
    <t>Exception identification</t>
  </si>
  <si>
    <t>M03 - Requirement Validation &amp; Gap Analysis</t>
  </si>
  <si>
    <t>Requirement Workshops</t>
  </si>
  <si>
    <t>Core Modules</t>
  </si>
  <si>
    <t>Core Module List*</t>
  </si>
  <si>
    <t>Digital Channels</t>
  </si>
  <si>
    <t>Digital Channel Module List*</t>
  </si>
  <si>
    <t>Integration Requirements</t>
  </si>
  <si>
    <t>NPCI Rails</t>
  </si>
  <si>
    <t>UPI IMPS NACH AEPS NFS BBPS FASTag</t>
  </si>
  <si>
    <t>RBI Systems</t>
  </si>
  <si>
    <t>NEFT RTGS</t>
  </si>
  <si>
    <t>Government Systems</t>
  </si>
  <si>
    <t>PFMS DBT CBDT</t>
  </si>
  <si>
    <t>Mandate</t>
  </si>
  <si>
    <t>eNACH registration debit lifecycle</t>
  </si>
  <si>
    <t>Switch &amp; Channels</t>
  </si>
  <si>
    <t>ATM POS UPI IMPS routing</t>
  </si>
  <si>
    <t>Gap Analysis</t>
  </si>
  <si>
    <t>Gap Identification</t>
  </si>
  <si>
    <t>Identify gaps</t>
  </si>
  <si>
    <t>Gap Prioritization</t>
  </si>
  <si>
    <t>Categorize gaps</t>
  </si>
  <si>
    <t>Sign-off</t>
  </si>
  <si>
    <t>Approval</t>
  </si>
  <si>
    <t>Requirement gap sign-off</t>
  </si>
  <si>
    <t>M04 - Solution Design &amp; Configuration</t>
  </si>
  <si>
    <t>Solution Design</t>
  </si>
  <si>
    <t>Architecture Design</t>
  </si>
  <si>
    <t>CBS architecture</t>
  </si>
  <si>
    <t>Integration architecture (third party vendor)</t>
  </si>
  <si>
    <t>Product Configuration</t>
  </si>
  <si>
    <t>Setup</t>
  </si>
  <si>
    <t>Product Checklist*</t>
  </si>
  <si>
    <t>Accounting Setup</t>
  </si>
  <si>
    <t>GL Product Setup</t>
  </si>
  <si>
    <t>GL mapping interest charges*</t>
  </si>
  <si>
    <t>Integration Design</t>
  </si>
  <si>
    <t>NPCI Design</t>
  </si>
  <si>
    <t>API file structure sponsor bank</t>
  </si>
  <si>
    <t>RBI Design</t>
  </si>
  <si>
    <t>NEFT RTGS design</t>
  </si>
  <si>
    <t>Switch Design</t>
  </si>
  <si>
    <t>Government Design</t>
  </si>
  <si>
    <t>PFMS DBT flows</t>
  </si>
  <si>
    <t>Settlement Design</t>
  </si>
  <si>
    <t>Reconciliation</t>
  </si>
  <si>
    <t>Settlement flows reconciliation</t>
  </si>
  <si>
    <t>Mandate Design</t>
  </si>
  <si>
    <t>Lifecycle</t>
  </si>
  <si>
    <t>Registration execution cancellation</t>
  </si>
  <si>
    <t>M05 - Development &amp; Gap Closure</t>
  </si>
  <si>
    <t>Core Development</t>
  </si>
  <si>
    <t>Gap Development</t>
  </si>
  <si>
    <t>Critical high gaps</t>
  </si>
  <si>
    <t>Integration Development</t>
  </si>
  <si>
    <t>NPCI</t>
  </si>
  <si>
    <t>UPI IMPS NACH AEPS</t>
  </si>
  <si>
    <t>RBI</t>
  </si>
  <si>
    <t>Switch</t>
  </si>
  <si>
    <t>ATM POS UPI IMPS</t>
  </si>
  <si>
    <t>Government</t>
  </si>
  <si>
    <t>Mandate Engine</t>
  </si>
  <si>
    <t>Development</t>
  </si>
  <si>
    <t>Registration validation execution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</si>
</sst>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;@"/>
    <numFmt numFmtId="166" formatCode="ddd&quot;, &quot;m/d/yyyy"/>
    <numFmt numFmtId="167" formatCode="[$-409]d/mmm/yy;@"/>
    <numFmt numFmtId="168" formatCode="0.0"/>
    <numFmt numFmtId="169" formatCode="0%"/>
    <numFmt numFmtId="170" formatCode="[$-809]dd\ mmmm\ yyyy;@"/>
  </numFmts>
  <fonts count="17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2"/>
      <color theme="1"/>
      <name val="Cambria"/>
      <family val="1"/>
      <charset val="1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3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3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3" xfId="3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3" borderId="13" xfId="3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3" xfId="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1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ivot Table Category" xfId="22"/>
    <cellStyle name="Pivot Table Corner" xfId="23"/>
    <cellStyle name="Pivot Table Field" xfId="24"/>
    <cellStyle name="Pivot Table Result" xfId="25"/>
    <cellStyle name="Pivot Table Title" xfId="26"/>
    <cellStyle name="Pivot Table Value" xfId="27"/>
    <cellStyle name="Project Start" xfId="28"/>
    <cellStyle name="Task" xfId="29"/>
    <cellStyle name="zHiddenText" xfId="30"/>
  </cellStyles>
  <dxfs count="21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6BA0F2"/>
      <rgbColor rgb="FF993366"/>
      <rgbColor rgb="FFFFFFCC"/>
      <rgbColor rgb="FFBDFCFF"/>
      <rgbColor rgb="FF660066"/>
      <rgbColor rgb="FFFF826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E7D"/>
      <rgbColor rgb="FFA6CAEC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sharedStrings.xml" Type="http://schemas.openxmlformats.org/officeDocument/2006/relationships/sharedStrings"/><Relationship Id="rId7" Target="pivotCache/pivotCacheDefinition1.xml" Type="http://schemas.openxmlformats.org/officeDocument/2006/relationships/pivotCacheDefinition"/><Relationship Id="rId8" Target="../customXml/item2.xml" Type="http://schemas.openxmlformats.org/officeDocument/2006/relationships/customXml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5:O105" sheet="FinWiz_Project_Schedule"/>
  </cacheSource>
  <cacheFields count="15">
    <cacheField name="Sr. No." numFmtId="0">
      <sharedItems containsString="0" containsBlank="1" containsNumber="1" containsInteger="1" minValue="1" maxValue="1" count="2">
        <n v="1"/>
        <m/>
      </sharedItems>
    </cacheField>
    <cacheField name="Phase" numFmtId="0">
      <sharedItems containsBlank="1" count="2">
        <s v="Phase-1"/>
        <m/>
      </sharedItems>
    </cacheField>
    <cacheField name="Milestone" numFmtId="0">
      <sharedItems containsBlank="1" count="2">
        <s v="Project Initiation &amp; Governance"/>
        <m/>
      </sharedItems>
    </cacheField>
    <cacheField name="Task" numFmtId="0">
      <sharedItems containsBlank="1" count="2">
        <s v="Project Kickoff"/>
        <m/>
      </sharedItems>
    </cacheField>
    <cacheField name="Sub-Task" numFmtId="0">
      <sharedItems containsBlank="1" count="2">
        <s v="Kickoff Meeting"/>
        <m/>
      </sharedItems>
    </cacheField>
    <cacheField name="Activity" numFmtId="0">
      <sharedItems containsBlank="1" count="2">
        <s v="Introduce stakeholders"/>
        <m/>
      </sharedItems>
    </cacheField>
    <cacheField name="Owner" numFmtId="0">
      <sharedItems containsString="0" containsBlank="1" count="1">
        <m/>
      </sharedItems>
    </cacheField>
    <cacheField name="Estimated Period  (in week)" numFmtId="0">
      <sharedItems containsString="0" containsBlank="1" containsNumber="1" minValue="0.2" maxValue="0.2" count="2">
        <n v="0.2"/>
        <m/>
      </sharedItems>
    </cacheField>
    <cacheField name="Planned Start Date" numFmtId="0">
      <sharedItems containsNonDate="0" containsDate="1" containsString="0" containsBlank="1" minDate="2026-04-15T00:00:00" maxDate="2026-04-15T00:00:00" count="2">
        <d v="2026-04-15T00:00:00"/>
        <m/>
      </sharedItems>
    </cacheField>
    <cacheField name="Planned  End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  Start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  End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 Period (in week)" numFmtId="0">
      <sharedItems containsString="0" containsBlank="1" containsNumber="1" minValue="0.2" maxValue="0.2" count="2">
        <n v="0.2"/>
        <m/>
      </sharedItems>
    </cacheField>
    <cacheField name="Progress" numFmtId="0">
      <sharedItems containsString="0" containsBlank="1" containsNumber="1" containsInteger="1" minValue="1" maxValue="1" count="2">
        <n v="1"/>
        <m/>
      </sharedItems>
    </cacheField>
    <cacheField name="Execution Status" numFmtId="0">
      <sharedItems containsBlank="1" count="2">
        <s v="Complete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1"/>
    <x v="1"/>
    <x v="1"/>
    <x v="1"/>
    <x v="1"/>
    <x v="1"/>
    <x v="0"/>
    <x v="1"/>
    <x v="1"/>
    <x v="1"/>
    <x v="1"/>
    <x v="1"/>
    <x v="1"/>
    <x v="1"/>
    <x v="1"/>
  </r>
  <r>
    <x v="1"/>
    <x v="1"/>
    <x v="1"/>
    <x v="1"/>
    <x v="1"/>
    <x v="1"/>
    <x v="0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F6" firstHeaderRow="1" firstDataRow="1" firstDataCol="5"/>
  <pivotFields count="15">
    <pivotField axis="axisRow" compact="0" showAll="0" defaultSubtotal="0" outline="0">
      <items count="2">
        <item x="0"/>
        <item x="1"/>
      </items>
    </pivotField>
    <pivotField compact="0" showAll="0" outline="0"/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5">
    <field x="0"/>
    <field x="2"/>
    <field x="3"/>
    <field x="4"/>
    <field x="5"/>
  </rowFields>
  <rowItems count="3">
    <i>
      <x v="0"/>
    </i>
    <i>
      <x v="1"/>
    </i>
    <i t="grand">
      <x v="2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171875" defaultRowHeight="14.25" customHeight="true" zeroHeight="false" outlineLevelRow="0" outlineLevelCol="0"/>
  <cols>
    <col min="1" max="1" customWidth="true" hidden="false" style="1" width="8.88" collapsed="false" outlineLevel="0"/>
    <col min="2" max="2" customWidth="true" hidden="false" style="1" width="33.12" collapsed="false" outlineLevel="0"/>
    <col min="3" max="3" customWidth="true" hidden="false" style="1" width="22.62" collapsed="false" outlineLevel="0"/>
    <col min="4" max="4" customWidth="true" hidden="false" style="1" width="21.0" collapsed="false" outlineLevel="0"/>
    <col min="5" max="5" customWidth="true" hidden="false" style="1" width="40.5" collapsed="false" outlineLevel="0"/>
  </cols>
  <sheetData>
    <row r="3" customFormat="false" ht="14.25" hidden="false" customHeight="false" outlineLevel="0" collapsed="false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customFormat="false" ht="14.25" hidden="false" customHeight="false" outlineLevel="0" collapsed="false">
      <c r="A4" s="5" t="n">
        <v>1</v>
      </c>
      <c r="B4" s="6" t="s">
        <v>6</v>
      </c>
      <c r="C4" s="6" t="s">
        <v>7</v>
      </c>
      <c r="D4" s="6" t="s">
        <v>8</v>
      </c>
      <c r="E4" s="6" t="s">
        <v>9</v>
      </c>
      <c r="F4" s="7"/>
    </row>
    <row r="5" customFormat="false" ht="14.25" hidden="false" customHeight="false" outlineLevel="0" collapsed="false">
      <c r="A5" s="5" t="s">
        <v>5</v>
      </c>
      <c r="B5" s="6" t="s">
        <v>5</v>
      </c>
      <c r="C5" s="6" t="s">
        <v>5</v>
      </c>
      <c r="D5" s="6" t="s">
        <v>5</v>
      </c>
      <c r="E5" s="6" t="s">
        <v>5</v>
      </c>
      <c r="F5" s="7"/>
    </row>
    <row r="6" customFormat="false" ht="14.25" hidden="false" customHeight="false" outlineLevel="0" collapsed="false">
      <c r="A6" s="8" t="s">
        <v>10</v>
      </c>
      <c r="B6" s="9"/>
      <c r="C6" s="9"/>
      <c r="D6" s="9"/>
      <c r="E6" s="10"/>
      <c r="F6" s="11"/>
    </row>
    <row r="7" customFormat="false" ht="14.25" hidden="false" customHeight="false" outlineLevel="0" collapsed="false"/>
    <row r="8" customFormat="false" ht="14.25" hidden="false" customHeight="false" outlineLevel="0" collapsed="false"/>
    <row r="9" customFormat="false" ht="14.25" hidden="false" customHeight="false" outlineLevel="0" collapsed="false"/>
    <row r="10" customFormat="false" ht="14.25" hidden="false" customHeight="false" outlineLevel="0" collapsed="false"/>
    <row r="11" customFormat="false" ht="14.25" hidden="false" customHeight="false" outlineLevel="0" collapsed="false"/>
    <row r="12" customFormat="false" ht="14.25" hidden="false" customHeight="false" outlineLevel="0" collapsed="false"/>
    <row r="13" customFormat="false" ht="14.25" hidden="false" customHeight="false" outlineLevel="0" collapsed="false"/>
    <row r="14" customFormat="false" ht="14.25" hidden="false" customHeight="false" outlineLevel="0" collapsed="false"/>
    <row r="15" customFormat="false" ht="14.25" hidden="false" customHeight="false" outlineLevel="0" collapsed="false"/>
    <row r="16" customFormat="false" ht="14.25" hidden="false" customHeight="false" outlineLevel="0" collapsed="false"/>
    <row r="17" customFormat="false" ht="14.25" hidden="false" customHeight="false" outlineLevel="0" collapsed="false"/>
    <row r="18" customFormat="false" ht="14.25" hidden="false" customHeight="false" outlineLevel="0" collapsed="false"/>
    <row r="19" customFormat="false" ht="14.25" hidden="false" customHeight="false" outlineLevel="0" collapsed="false"/>
    <row r="20" customFormat="false" ht="14.25" hidden="false" customHeight="false" outlineLevel="0" collapsed="false"/>
    <row r="21" customFormat="false" ht="14.25" hidden="false" customHeight="false" outlineLevel="0" collapsed="false"/>
    <row r="22" customFormat="false" ht="14.25" hidden="false" customHeight="false" outlineLevel="0" collapsed="false"/>
    <row r="23" customFormat="false" ht="14.25" hidden="false" customHeight="false" outlineLevel="0" collapsed="false"/>
    <row r="24" customFormat="false" ht="14.25" hidden="false" customHeight="false" outlineLevel="0" collapsed="false"/>
    <row r="25" customFormat="false" ht="14.25" hidden="false" customHeight="false" outlineLevel="0" collapsed="false"/>
    <row r="26" customFormat="false" ht="14.25" hidden="false" customHeight="false" outlineLevel="0" collapsed="false"/>
    <row r="27" customFormat="false" ht="14.25" hidden="false" customHeight="false" outlineLevel="0" collapsed="false"/>
    <row r="28" customFormat="false" ht="14.25" hidden="false" customHeight="false" outlineLevel="0" collapsed="false"/>
    <row r="29" customFormat="false" ht="14.25" hidden="false" customHeight="false" outlineLevel="0" collapsed="false"/>
    <row r="30" customFormat="false" ht="14.25" hidden="false" customHeight="false" outlineLevel="0" collapsed="false"/>
    <row r="31" customFormat="false" ht="14.25" hidden="false" customHeight="false" outlineLevel="0" collapsed="false"/>
    <row r="32" customFormat="false" ht="14.25" hidden="false" customHeight="false" outlineLevel="0" collapsed="false"/>
    <row r="33" customFormat="false" ht="14.25" hidden="false" customHeight="false" outlineLevel="0" collapsed="false"/>
    <row r="34" customFormat="false" ht="14.25" hidden="false" customHeight="false" outlineLevel="0" collapsed="false"/>
    <row r="35" customFormat="false" ht="14.25" hidden="false" customHeight="false" outlineLevel="0" collapsed="false"/>
    <row r="36" customFormat="false" ht="14.25" hidden="false" customHeight="false" outlineLevel="0" collapsed="false"/>
    <row r="37" customFormat="false" ht="14.25" hidden="false" customHeight="false" outlineLevel="0" collapsed="false"/>
    <row r="38" customFormat="false" ht="14.25" hidden="false" customHeight="false" outlineLevel="0" collapsed="false"/>
    <row r="39" customFormat="false" ht="14.25" hidden="false" customHeight="false" outlineLevel="0" collapsed="false"/>
    <row r="40" customFormat="false" ht="14.25" hidden="false" customHeight="false" outlineLevel="0" collapsed="false"/>
    <row r="41" customFormat="false" ht="14.25" hidden="false" customHeight="false" outlineLevel="0" collapsed="false"/>
    <row r="42" customFormat="false" ht="14.25" hidden="false" customHeight="false" outlineLevel="0" collapsed="false"/>
    <row r="43" customFormat="false" ht="14.25" hidden="false" customHeight="false" outlineLevel="0" collapsed="false"/>
    <row r="44" customFormat="false" ht="14.25" hidden="false" customHeight="false" outlineLevel="0" collapsed="false"/>
    <row r="45" customFormat="false" ht="14.25" hidden="false" customHeight="false" outlineLevel="0" collapsed="false"/>
    <row r="46" customFormat="false" ht="14.25" hidden="false" customHeight="false" outlineLevel="0" collapsed="false"/>
    <row r="47" customFormat="false" ht="14.25" hidden="false" customHeight="false" outlineLevel="0" collapsed="false"/>
    <row r="48" customFormat="false" ht="14.25" hidden="false" customHeight="false" outlineLevel="0" collapsed="false"/>
    <row r="49" customFormat="false" ht="14.25" hidden="false" customHeight="false" outlineLevel="0" collapsed="false"/>
    <row r="50" customFormat="false" ht="14.25" hidden="false" customHeight="false" outlineLevel="0" collapsed="false"/>
    <row r="51" customFormat="false" ht="14.25" hidden="false" customHeight="false" outlineLevel="0" collapsed="false"/>
    <row r="52" customFormat="false" ht="14.25" hidden="false" customHeight="false" outlineLevel="0" collapsed="false"/>
    <row r="53" customFormat="false" ht="14.25" hidden="false" customHeight="false" outlineLevel="0" collapsed="false"/>
    <row r="54" customFormat="false" ht="14.25" hidden="false" customHeight="false" outlineLevel="0" collapsed="false"/>
    <row r="55" customFormat="false" ht="14.25" hidden="false" customHeight="false" outlineLevel="0" collapsed="false"/>
    <row r="56" customFormat="false" ht="14.25" hidden="false" customHeight="false" outlineLevel="0" collapsed="false"/>
    <row r="57" customFormat="false" ht="14.25" hidden="false" customHeight="false" outlineLevel="0" collapsed="false"/>
    <row r="58" customFormat="false" ht="14.25" hidden="false" customHeight="false" outlineLevel="0" collapsed="false"/>
    <row r="59" customFormat="false" ht="14.25" hidden="false" customHeight="false" outlineLevel="0" collapsed="false"/>
    <row r="60" customFormat="false" ht="14.25" hidden="false" customHeight="false" outlineLevel="0" collapsed="false"/>
    <row r="61" customFormat="false" ht="14.25" hidden="false" customHeight="false" outlineLevel="0" collapsed="false"/>
    <row r="62" customFormat="false" ht="14.25" hidden="false" customHeight="false" outlineLevel="0" collapsed="false"/>
    <row r="63" customFormat="false" ht="14.25" hidden="false" customHeight="false" outlineLevel="0" collapsed="false"/>
    <row r="64" customFormat="false" ht="14.25" hidden="false" customHeight="false" outlineLevel="0" collapsed="false"/>
    <row r="65" customFormat="false" ht="14.25" hidden="false" customHeight="false" outlineLevel="0" collapsed="false"/>
    <row r="66" customFormat="false" ht="14.25" hidden="false" customHeight="false" outlineLevel="0" collapsed="false"/>
    <row r="67" customFormat="false" ht="14.25" hidden="false" customHeight="false" outlineLevel="0" collapsed="false"/>
    <row r="68" customFormat="false" ht="14.25" hidden="false" customHeight="false" outlineLevel="0" collapsed="false"/>
    <row r="69" customFormat="false" ht="14.25" hidden="false" customHeight="false" outlineLevel="0" collapsed="false"/>
    <row r="70" customFormat="false" ht="14.25" hidden="false" customHeight="false" outlineLevel="0" collapsed="false"/>
    <row r="71" customFormat="false" ht="14.25" hidden="false" customHeight="false" outlineLevel="0" collapsed="false"/>
    <row r="72" customFormat="false" ht="14.25" hidden="false" customHeight="false" outlineLevel="0" collapsed="false"/>
    <row r="73" customFormat="false" ht="14.25" hidden="false" customHeight="false" outlineLevel="0" collapsed="false"/>
    <row r="74" customFormat="false" ht="14.25" hidden="false" customHeight="false" outlineLevel="0" collapsed="false"/>
    <row r="75" customFormat="false" ht="14.25" hidden="false" customHeight="false" outlineLevel="0" collapsed="false"/>
    <row r="76" customFormat="false" ht="14.25" hidden="false" customHeight="false" outlineLevel="0" collapsed="false"/>
    <row r="77" customFormat="false" ht="14.25" hidden="false" customHeight="false" outlineLevel="0" collapsed="false"/>
    <row r="78" customFormat="false" ht="14.25" hidden="false" customHeight="false" outlineLevel="0" collapsed="false"/>
    <row r="79" customFormat="false" ht="14.25" hidden="false" customHeight="false" outlineLevel="0" collapsed="false"/>
    <row r="80" customFormat="false" ht="14.25" hidden="false" customHeight="false" outlineLevel="0" collapsed="false"/>
    <row r="81" customFormat="false" ht="14.25" hidden="false" customHeight="false" outlineLevel="0" collapsed="false"/>
    <row r="82" customFormat="false" ht="14.25" hidden="false" customHeight="false" outlineLevel="0" collapsed="false"/>
    <row r="83" customFormat="false" ht="14.25" hidden="false" customHeight="false" outlineLevel="0" collapsed="false"/>
    <row r="84" customFormat="false" ht="14.25" hidden="false" customHeight="false" outlineLevel="0" collapsed="false"/>
    <row r="85" customFormat="false" ht="14.25" hidden="false" customHeight="false" outlineLevel="0" collapsed="false"/>
    <row r="86" customFormat="false" ht="14.25" hidden="false" customHeight="false" outlineLevel="0" collapsed="false"/>
    <row r="87" customFormat="false" ht="14.25" hidden="false" customHeight="false" outlineLevel="0" collapsed="false"/>
    <row r="88" customFormat="false" ht="14.25" hidden="false" customHeight="false" outlineLevel="0" collapsed="false"/>
    <row r="89" customFormat="false" ht="14.25" hidden="false" customHeight="false" outlineLevel="0" collapsed="false"/>
    <row r="90" customFormat="false" ht="14.25" hidden="false" customHeight="false" outlineLevel="0" collapsed="false"/>
    <row r="91" customFormat="false" ht="14.25" hidden="false" customHeight="false" outlineLevel="0" collapsed="false"/>
    <row r="92" customFormat="false" ht="14.25" hidden="false" customHeight="false" outlineLevel="0" collapsed="false"/>
    <row r="93" customFormat="false" ht="14.25" hidden="false" customHeight="false" outlineLevel="0" collapsed="false"/>
    <row r="94" customFormat="false" ht="14.25" hidden="false" customHeight="false" outlineLevel="0" collapsed="false"/>
    <row r="95" customFormat="false" ht="14.25" hidden="false" customHeight="false" outlineLevel="0" collapsed="false"/>
    <row r="96" customFormat="false" ht="14.25" hidden="false" customHeight="false" outlineLevel="0" collapsed="false"/>
    <row r="97" customFormat="false" ht="14.25" hidden="false" customHeight="false" outlineLevel="0" collapsed="false"/>
    <row r="98" customFormat="false" ht="14.25" hidden="false" customHeight="false" outlineLevel="0" collapsed="false"/>
    <row r="99" customFormat="false" ht="14.25" hidden="false" customHeight="false" outlineLevel="0" collapsed="false"/>
    <row r="100" customFormat="false" ht="14.25" hidden="false" customHeight="false" outlineLevel="0" collapsed="false"/>
    <row r="101" customFormat="false" ht="14.25" hidden="false" customHeight="false" outlineLevel="0" collapsed="false"/>
    <row r="102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E105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8" activeCellId="0" sqref="M8"/>
    </sheetView>
  </sheetViews>
  <sheetFormatPr defaultColWidth="8.625" defaultRowHeight="15.75" customHeight="true" zeroHeight="false" outlineLevelRow="0" outlineLevelCol="0"/>
  <cols>
    <col min="1" max="1" customWidth="true" hidden="false" style="12" width="5.12" collapsed="false" outlineLevel="0"/>
    <col min="2" max="2" customWidth="true" hidden="false" style="13" width="10.0" collapsed="false" outlineLevel="0"/>
    <col min="3" max="3" customWidth="true" hidden="false" style="14" width="38.5" collapsed="false" outlineLevel="0"/>
    <col min="4" max="4" customWidth="true" hidden="false" style="15" width="22.5" collapsed="false" outlineLevel="0"/>
    <col min="5" max="5" customWidth="true" hidden="false" style="15" width="22.0" collapsed="false" outlineLevel="0"/>
    <col min="6" max="6" customWidth="true" hidden="false" style="16" width="37.38" collapsed="false" outlineLevel="0"/>
    <col min="7" max="7" customWidth="true" hidden="false" style="16" width="9.87" collapsed="false" outlineLevel="0"/>
    <col min="8" max="13" customWidth="true" hidden="false" style="17" width="11.62" collapsed="false" outlineLevel="0"/>
    <col min="14" max="14" customWidth="true" hidden="false" style="16" width="9.5" collapsed="false" outlineLevel="0"/>
    <col min="15" max="16" customWidth="true" hidden="false" style="16" width="10.26" collapsed="false" outlineLevel="0"/>
    <col min="17" max="17" customWidth="true" hidden="false" style="16" width="32.65" collapsed="false" outlineLevel="0"/>
    <col min="18" max="18" customWidth="true" hidden="false" style="1" width="2.62" collapsed="false" outlineLevel="0"/>
    <col min="19" max="74" customWidth="true" hidden="false" style="1" width="3.38" collapsed="false" outlineLevel="0"/>
    <col min="75" max="75" customWidth="true" hidden="false" style="16" width="2.62" collapsed="false" outlineLevel="0"/>
    <col min="76" max="16384" customWidth="false" hidden="false" style="16" width="8.62" collapsed="false" outlineLevel="0"/>
  </cols>
  <sheetData>
    <row r="1" customFormat="false" ht="17.35" hidden="false" customHeight="false" outlineLevel="0" collapsed="false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15.75" hidden="false" customHeight="true" outlineLevel="0" collapsed="false">
      <c r="A2" s="19" t="s">
        <v>12</v>
      </c>
      <c r="B2" s="19"/>
      <c r="C2" s="19"/>
      <c r="D2" s="20" t="s">
        <v>43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5.75" hidden="false" customHeight="true" outlineLevel="0" collapsed="false">
      <c r="A3" s="19" t="s">
        <v>14</v>
      </c>
      <c r="B3" s="19"/>
      <c r="C3" s="19"/>
      <c r="D3" s="20" t="s">
        <v>44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customFormat="false" ht="15.75" hidden="false" customHeight="true" outlineLevel="0" collapsed="false">
      <c r="A4" s="19" t="s">
        <v>16</v>
      </c>
      <c r="B4" s="19"/>
      <c r="C4" s="19"/>
      <c r="D4" s="21" t="s">
        <v>45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="14" customFormat="true" ht="21" hidden="false" customHeight="true" outlineLevel="0" collapsed="false">
      <c r="A5" s="22" t="s">
        <v>0</v>
      </c>
      <c r="B5" s="23" t="s">
        <v>18</v>
      </c>
      <c r="C5" s="23" t="s">
        <v>1</v>
      </c>
      <c r="D5" s="24" t="s">
        <v>2</v>
      </c>
      <c r="E5" s="24" t="s">
        <v>3</v>
      </c>
      <c r="F5" s="23" t="s">
        <v>4</v>
      </c>
      <c r="G5" s="24" t="s">
        <v>19</v>
      </c>
      <c r="H5" s="24" t="s">
        <v>20</v>
      </c>
      <c r="I5" s="25" t="s">
        <v>21</v>
      </c>
      <c r="J5" s="25" t="s">
        <v>22</v>
      </c>
      <c r="K5" s="26" t="s">
        <v>23</v>
      </c>
      <c r="L5" s="26" t="s">
        <v>24</v>
      </c>
      <c r="M5" s="24" t="s">
        <v>25</v>
      </c>
      <c r="N5" s="23" t="s">
        <v>26</v>
      </c>
      <c r="O5" s="24" t="s">
        <v>27</v>
      </c>
      <c r="P5" s="27" t="s">
        <v>28</v>
      </c>
      <c r="Q5" s="27" t="s">
        <v>29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="14" customFormat="true" ht="15" hidden="false" customHeight="true" outlineLevel="0" collapsed="false">
      <c r="A6" s="22"/>
      <c r="B6" s="23"/>
      <c r="C6" s="23"/>
      <c r="D6" s="24"/>
      <c r="E6" s="24"/>
      <c r="F6" s="23"/>
      <c r="G6" s="24"/>
      <c r="H6" s="24"/>
      <c r="I6" s="25"/>
      <c r="J6" s="25"/>
      <c r="K6" s="26"/>
      <c r="L6" s="26"/>
      <c r="M6" s="24"/>
      <c r="N6" s="23"/>
      <c r="O6" s="24"/>
      <c r="P6" s="27"/>
      <c r="Q6" s="2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s="14" customFormat="true" ht="15.75" hidden="false" customHeight="false" outlineLevel="0" collapsed="false">
      <c r="A7" s="22"/>
      <c r="B7" s="23"/>
      <c r="C7" s="23"/>
      <c r="D7" s="24"/>
      <c r="E7" s="24"/>
      <c r="F7" s="23"/>
      <c r="G7" s="24"/>
      <c r="H7" s="24"/>
      <c r="I7" s="25"/>
      <c r="J7" s="25"/>
      <c r="K7" s="26"/>
      <c r="L7" s="26"/>
      <c r="M7" s="24"/>
      <c r="N7" s="23"/>
      <c r="O7" s="24"/>
      <c r="P7" s="27"/>
      <c r="Q7" s="2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customFormat="false" hidden="false" outlineLevel="0" collapsed="false">
      <c r="A8" s="28" t="n">
        <v>1.0</v>
      </c>
      <c r="B8" s="29" t="s">
        <v>46</v>
      </c>
      <c r="C8" s="30" t="s">
        <v>47</v>
      </c>
      <c r="D8" s="31" t="s">
        <v>48</v>
      </c>
      <c r="E8" s="31" t="s">
        <v>49</v>
      </c>
      <c r="F8" s="32" t="s">
        <v>50</v>
      </c>
      <c r="G8" s="33" t="s">
        <v>51</v>
      </c>
      <c r="H8" s="34" t="n">
        <v>0.2</v>
      </c>
      <c r="I8" s="35" t="n">
        <v>46184.0</v>
      </c>
      <c r="J8" s="35" t="n">
        <v>46184.0</v>
      </c>
      <c r="K8" s="35" t="n">
        <v>46184.0</v>
      </c>
      <c r="L8" s="35" t="n">
        <v>46184.0</v>
      </c>
      <c r="M8" s="36" t="n">
        <f aca="false">IF(OR(ISBLANK(K8),ISBLANK(L8)),"",NETWORKDAYS(K8,L8)/5)</f>
        <v>0.2</v>
      </c>
      <c r="N8" s="37" t="n">
        <v>1.0</v>
      </c>
      <c r="O8" s="33" t="str">
        <f aca="false">IF($N8&gt;=1,"Completed",
 IF($N8=0,"Not Started",
 "In Progress"))</f>
        <v>Completed</v>
      </c>
      <c r="P8" s="33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41" t="s">
        <v>51</v>
      </c>
      <c r="BY8" s="38"/>
      <c r="BZ8" s="38"/>
      <c r="CA8" s="38"/>
      <c r="CB8" s="38"/>
      <c r="CC8" s="38"/>
      <c r="CD8" s="38"/>
      <c r="CE8" s="38"/>
    </row>
    <row r="9">
      <c r="A9" s="28" t="n">
        <v>2.0</v>
      </c>
      <c r="B9" s="29" t="s">
        <v>46</v>
      </c>
      <c r="C9" s="30" t="s">
        <v>47</v>
      </c>
      <c r="D9" s="31" t="s">
        <v>48</v>
      </c>
      <c r="E9" s="31" t="s">
        <v>49</v>
      </c>
      <c r="F9" s="32" t="s">
        <v>52</v>
      </c>
      <c r="G9" s="33" t="s">
        <v>51</v>
      </c>
      <c r="H9" s="34" t="n">
        <v>0.3</v>
      </c>
      <c r="I9" s="35" t="n">
        <v>46185.0</v>
      </c>
      <c r="J9" s="35" t="n">
        <v>46188.0</v>
      </c>
      <c r="K9" s="35" t="n">
        <v>46185.0</v>
      </c>
      <c r="L9" s="35" t="n">
        <v>46185.0</v>
      </c>
      <c r="M9" s="36" t="n">
        <f>IF(OR(ISBLANK(K9),ISBLANK(L9)),"",NETWORKDAYS(K9,L9)/5)</f>
        <v>0.2</v>
      </c>
      <c r="N9" s="37" t="n">
        <v>1.0</v>
      </c>
      <c r="O9" s="33" t="str">
        <f>IF($N9&gt;=1,"Completed",
 IF($N9=0,"Not Started",
 "In Progress"))</f>
        <v>Completed</v>
      </c>
      <c r="P9" s="33" t="str">
        <f>IF($N9&gt;=1,
    IF($M9&gt;$K9,"Delayed","On Track"),
 IF(TODAY()&lt;$J9,
    "On Track",
 IF(AND($N9=0,TODAY()&gt;$K9),
    "Delayed",
 IF(AND($L9&lt;&gt;"",$L9&gt;$J9),
    "At Risk",
 IF(TODAY()&gt;$K9,
    "Delayed",
 "On Track")))))</f>
        <v>On Track</v>
      </c>
      <c r="Q9" s="42" t="s">
        <v>51</v>
      </c>
      <c r="BY9" s="38"/>
      <c r="BZ9" s="38"/>
      <c r="CA9" s="38"/>
      <c r="CB9" s="38"/>
      <c r="CC9" s="38"/>
      <c r="CD9" s="38"/>
      <c r="CE9" s="38"/>
    </row>
    <row r="10">
      <c r="A10" s="28" t="n">
        <v>3.0</v>
      </c>
      <c r="B10" s="29" t="s">
        <v>46</v>
      </c>
      <c r="C10" s="30" t="s">
        <v>47</v>
      </c>
      <c r="D10" s="31" t="s">
        <v>48</v>
      </c>
      <c r="E10" s="31" t="s">
        <v>49</v>
      </c>
      <c r="F10" s="32" t="s">
        <v>53</v>
      </c>
      <c r="G10" s="33" t="s">
        <v>51</v>
      </c>
      <c r="H10" s="34" t="n">
        <v>0.2</v>
      </c>
      <c r="I10" s="35" t="n">
        <v>46188.0</v>
      </c>
      <c r="J10" s="35" t="n">
        <v>46188.0</v>
      </c>
      <c r="K10" s="35" t="n">
        <v>46188.0</v>
      </c>
      <c r="L10" s="35" t="n">
        <v>46188.0</v>
      </c>
      <c r="M10" s="36" t="n">
        <f>IF(OR(ISBLANK(K10),ISBLANK(L10)),"",NETWORKDAYS(K10,L10)/5)</f>
        <v>0.2</v>
      </c>
      <c r="N10" s="37" t="n">
        <v>1.0</v>
      </c>
      <c r="O10" s="33" t="str">
        <f>IF($N10&gt;=1,"Completed",
 IF($N10=0,"Not Started",
 "In Progress"))</f>
        <v>Completed</v>
      </c>
      <c r="P10" s="33" t="str">
        <f>IF($N10&gt;=1,
    IF($M10&gt;$K10,"Delayed","On Track"),
 IF(TODAY()&lt;$J10,
    "On Track",
 IF(AND($N10=0,TODAY()&gt;$K10),
    "Delayed",
 IF(AND($L10&lt;&gt;"",$L10&gt;$J10),
    "At Risk",
 IF(TODAY()&gt;$K10,
    "Delayed",
 "On Track")))))</f>
        <v>On Track</v>
      </c>
      <c r="Q10" s="43" t="s">
        <v>51</v>
      </c>
      <c r="BY10" s="38"/>
      <c r="BZ10" s="38"/>
      <c r="CA10" s="38"/>
      <c r="CB10" s="38"/>
      <c r="CC10" s="38"/>
      <c r="CD10" s="38"/>
      <c r="CE10" s="38"/>
    </row>
    <row r="11">
      <c r="A11" s="28" t="n">
        <v>4.0</v>
      </c>
      <c r="B11" s="29" t="s">
        <v>46</v>
      </c>
      <c r="C11" s="30" t="s">
        <v>47</v>
      </c>
      <c r="D11" s="31" t="s">
        <v>54</v>
      </c>
      <c r="E11" s="31" t="s">
        <v>55</v>
      </c>
      <c r="F11" s="32" t="s">
        <v>56</v>
      </c>
      <c r="G11" s="33" t="s">
        <v>51</v>
      </c>
      <c r="H11" s="34" t="n">
        <v>0.3</v>
      </c>
      <c r="I11" s="35" t="n">
        <v>46188.0</v>
      </c>
      <c r="J11" s="35" t="n">
        <v>46189.0</v>
      </c>
      <c r="K11" s="35" t="n">
        <v>46218.0</v>
      </c>
      <c r="L11" s="35" t="n">
        <v>46219.0</v>
      </c>
      <c r="M11" s="36" t="n">
        <f>IF(OR(ISBLANK(K11),ISBLANK(L11)),"",NETWORKDAYS(K11,L11)/5)</f>
        <v>0.4</v>
      </c>
      <c r="N11" s="37" t="n">
        <v>1.0</v>
      </c>
      <c r="O11" s="33" t="str">
        <f>IF($N11&gt;=1,"Completed",
 IF($N11=0,"Not Started",
 "In Progress"))</f>
        <v>Completed</v>
      </c>
      <c r="P11" s="33" t="str">
        <f>IF($N11&gt;=1,
    IF($M11&gt;$K11,"Delayed","On Track"),
 IF(TODAY()&lt;$J11,
    "On Track",
 IF(AND($N11=0,TODAY()&gt;$K11),
    "Delayed",
 IF(AND($L11&lt;&gt;"",$L11&gt;$J11),
    "At Risk",
 IF(TODAY()&gt;$K11,
    "Delayed",
 "On Track")))))</f>
        <v>On Track</v>
      </c>
      <c r="Q11" s="44" t="s">
        <v>51</v>
      </c>
      <c r="BY11" s="38"/>
      <c r="BZ11" s="38"/>
      <c r="CA11" s="38"/>
      <c r="CB11" s="38"/>
      <c r="CC11" s="38"/>
      <c r="CD11" s="38"/>
      <c r="CE11" s="38"/>
    </row>
    <row r="12">
      <c r="A12" s="28" t="n">
        <v>5.0</v>
      </c>
      <c r="B12" s="29" t="s">
        <v>46</v>
      </c>
      <c r="C12" s="30" t="s">
        <v>47</v>
      </c>
      <c r="D12" s="31" t="s">
        <v>54</v>
      </c>
      <c r="E12" s="31" t="s">
        <v>55</v>
      </c>
      <c r="F12" s="32" t="s">
        <v>57</v>
      </c>
      <c r="G12" s="33" t="s">
        <v>51</v>
      </c>
      <c r="H12" s="34" t="n">
        <v>0.2</v>
      </c>
      <c r="I12" s="35" t="n">
        <v>46190.0</v>
      </c>
      <c r="J12" s="35" t="n">
        <v>46190.0</v>
      </c>
      <c r="K12" s="35"/>
      <c r="L12" s="35"/>
      <c r="M12" s="36" t="str">
        <f>IF(OR(ISBLANK(K12),ISBLANK(L12)),"",NETWORKDAYS(K12,L12)/5)</f>
        <v/>
      </c>
      <c r="N12" s="37"/>
      <c r="O12" s="33" t="str">
        <f>IF($N12&gt;=1,"Completed",
 IF($N12=0,"Not Started",
 "In Progress"))</f>
        <v>Not Started</v>
      </c>
      <c r="P12" s="33" t="str">
        <f>IF($N12&gt;=1,
    IF($M12&gt;$K12,"Delayed","On Track"),
 IF(TODAY()&lt;$J12,
    "On Track",
 IF(AND($N12=0,TODAY()&gt;$K12),
    "Delayed",
 IF(AND($L12&lt;&gt;"",$L12&gt;$J12),
    "At Risk",
 IF(TODAY()&gt;$K12,
    "Delayed",
 "On Track")))))</f>
        <v>Delayed</v>
      </c>
      <c r="Q12" s="45" t="s">
        <v>51</v>
      </c>
      <c r="BY12" s="38"/>
      <c r="BZ12" s="38"/>
      <c r="CA12" s="38"/>
      <c r="CB12" s="38"/>
      <c r="CC12" s="38"/>
      <c r="CD12" s="38"/>
      <c r="CE12" s="38"/>
    </row>
    <row r="13">
      <c r="A13" s="28" t="n">
        <v>6.0</v>
      </c>
      <c r="B13" s="29" t="s">
        <v>46</v>
      </c>
      <c r="C13" s="30" t="s">
        <v>47</v>
      </c>
      <c r="D13" s="31" t="s">
        <v>54</v>
      </c>
      <c r="E13" s="31" t="s">
        <v>55</v>
      </c>
      <c r="F13" s="32" t="s">
        <v>58</v>
      </c>
      <c r="G13" s="33" t="s">
        <v>51</v>
      </c>
      <c r="H13" s="34" t="n">
        <v>0.2</v>
      </c>
      <c r="I13" s="35" t="n">
        <v>46190.0</v>
      </c>
      <c r="J13" s="35" t="n">
        <v>46190.0</v>
      </c>
      <c r="K13" s="35"/>
      <c r="L13" s="35"/>
      <c r="M13" s="36" t="str">
        <f>IF(OR(ISBLANK(K13),ISBLANK(L13)),"",NETWORKDAYS(K13,L13)/5)</f>
        <v/>
      </c>
      <c r="N13" s="37"/>
      <c r="O13" s="33" t="str">
        <f>IF($N13&gt;=1,"Completed",
 IF($N13=0,"Not Started",
 "In Progress"))</f>
        <v>Not Started</v>
      </c>
      <c r="P13" s="33" t="str">
        <f>IF($N13&gt;=1,
    IF($M13&gt;$K13,"Delayed","On Track"),
 IF(TODAY()&lt;$J13,
    "On Track",
 IF(AND($N13=0,TODAY()&gt;$K13),
    "Delayed",
 IF(AND($L13&lt;&gt;"",$L13&gt;$J13),
    "At Risk",
 IF(TODAY()&gt;$K13,
    "Delayed",
 "On Track")))))</f>
        <v>Delayed</v>
      </c>
      <c r="Q13" s="46" t="s">
        <v>51</v>
      </c>
      <c r="BY13" s="38"/>
      <c r="BZ13" s="38"/>
      <c r="CA13" s="38"/>
      <c r="CB13" s="38"/>
      <c r="CC13" s="38"/>
      <c r="CD13" s="38"/>
      <c r="CE13" s="38"/>
    </row>
    <row r="14">
      <c r="A14" s="28" t="n">
        <v>7.0</v>
      </c>
      <c r="B14" s="29" t="s">
        <v>46</v>
      </c>
      <c r="C14" s="30" t="s">
        <v>47</v>
      </c>
      <c r="D14" s="31" t="s">
        <v>59</v>
      </c>
      <c r="E14" s="31" t="s">
        <v>60</v>
      </c>
      <c r="F14" s="32" t="s">
        <v>61</v>
      </c>
      <c r="G14" s="33" t="s">
        <v>51</v>
      </c>
      <c r="H14" s="34" t="n">
        <v>0.4</v>
      </c>
      <c r="I14" s="35" t="n">
        <v>46191.0</v>
      </c>
      <c r="J14" s="35" t="n">
        <v>46192.0</v>
      </c>
      <c r="K14" s="35"/>
      <c r="L14" s="35"/>
      <c r="M14" s="36" t="str">
        <f>IF(OR(ISBLANK(K14),ISBLANK(L14)),"",NETWORKDAYS(K14,L14)/5)</f>
        <v/>
      </c>
      <c r="N14" s="37"/>
      <c r="O14" s="33" t="str">
        <f>IF($N14&gt;=1,"Completed",
 IF($N14=0,"Not Started",
 "In Progress"))</f>
        <v>Not Started</v>
      </c>
      <c r="P14" s="33" t="str">
        <f>IF($N14&gt;=1,
    IF($M14&gt;$K14,"Delayed","On Track"),
 IF(TODAY()&lt;$J14,
    "On Track",
 IF(AND($N14=0,TODAY()&gt;$K14),
    "Delayed",
 IF(AND($L14&lt;&gt;"",$L14&gt;$J14),
    "At Risk",
 IF(TODAY()&gt;$K14,
    "Delayed",
 "On Track")))))</f>
        <v>Delayed</v>
      </c>
      <c r="Q14" s="47" t="s">
        <v>51</v>
      </c>
      <c r="BY14" s="38"/>
      <c r="BZ14" s="38"/>
      <c r="CA14" s="38"/>
      <c r="CB14" s="38"/>
      <c r="CC14" s="38"/>
      <c r="CD14" s="38"/>
      <c r="CE14" s="38"/>
    </row>
    <row r="15">
      <c r="A15" s="28" t="n">
        <v>8.0</v>
      </c>
      <c r="B15" s="29" t="s">
        <v>46</v>
      </c>
      <c r="C15" s="30" t="s">
        <v>47</v>
      </c>
      <c r="D15" s="31" t="s">
        <v>59</v>
      </c>
      <c r="E15" s="31" t="s">
        <v>60</v>
      </c>
      <c r="F15" s="32" t="s">
        <v>62</v>
      </c>
      <c r="G15" s="33" t="s">
        <v>51</v>
      </c>
      <c r="H15" s="34" t="n">
        <v>0.3</v>
      </c>
      <c r="I15" s="35" t="n">
        <v>46191.0</v>
      </c>
      <c r="J15" s="35" t="n">
        <v>46192.0</v>
      </c>
      <c r="K15" s="35"/>
      <c r="L15" s="35"/>
      <c r="M15" s="36" t="str">
        <f>IF(OR(ISBLANK(K15),ISBLANK(L15)),"",NETWORKDAYS(K15,L15)/5)</f>
        <v/>
      </c>
      <c r="N15" s="37"/>
      <c r="O15" s="33" t="str">
        <f>IF($N15&gt;=1,"Completed",
 IF($N15=0,"Not Started",
 "In Progress"))</f>
        <v>Not Started</v>
      </c>
      <c r="P15" s="33" t="str">
        <f>IF($N15&gt;=1,
    IF($M15&gt;$K15,"Delayed","On Track"),
 IF(TODAY()&lt;$J15,
    "On Track",
 IF(AND($N15=0,TODAY()&gt;$K15),
    "Delayed",
 IF(AND($L15&lt;&gt;"",$L15&gt;$J15),
    "At Risk",
 IF(TODAY()&gt;$K15,
    "Delayed",
 "On Track")))))</f>
        <v>Delayed</v>
      </c>
      <c r="Q15" s="48" t="s">
        <v>51</v>
      </c>
      <c r="BY15" s="38"/>
      <c r="BZ15" s="38"/>
      <c r="CA15" s="38"/>
      <c r="CB15" s="38"/>
      <c r="CC15" s="38"/>
      <c r="CD15" s="38"/>
      <c r="CE15" s="38"/>
    </row>
    <row r="16">
      <c r="A16" s="28" t="n">
        <v>9.0</v>
      </c>
      <c r="B16" s="29" t="s">
        <v>46</v>
      </c>
      <c r="C16" s="30" t="s">
        <v>47</v>
      </c>
      <c r="D16" s="31" t="s">
        <v>59</v>
      </c>
      <c r="E16" s="31" t="s">
        <v>60</v>
      </c>
      <c r="F16" s="32" t="s">
        <v>63</v>
      </c>
      <c r="G16" s="33" t="s">
        <v>51</v>
      </c>
      <c r="H16" s="34" t="n">
        <v>0.3</v>
      </c>
      <c r="I16" s="35" t="n">
        <v>46192.0</v>
      </c>
      <c r="J16" s="35" t="n">
        <v>46195.0</v>
      </c>
      <c r="K16" s="35"/>
      <c r="L16" s="35"/>
      <c r="M16" s="36" t="str">
        <f>IF(OR(ISBLANK(K16),ISBLANK(L16)),"",NETWORKDAYS(K16,L16)/5)</f>
        <v/>
      </c>
      <c r="N16" s="37"/>
      <c r="O16" s="33" t="str">
        <f>IF($N16&gt;=1,"Completed",
 IF($N16=0,"Not Started",
 "In Progress"))</f>
        <v>Not Started</v>
      </c>
      <c r="P16" s="33" t="str">
        <f>IF($N16&gt;=1,
    IF($M16&gt;$K16,"Delayed","On Track"),
 IF(TODAY()&lt;$J16,
    "On Track",
 IF(AND($N16=0,TODAY()&gt;$K16),
    "Delayed",
 IF(AND($L16&lt;&gt;"",$L16&gt;$J16),
    "At Risk",
 IF(TODAY()&gt;$K16,
    "Delayed",
 "On Track")))))</f>
        <v>Delayed</v>
      </c>
      <c r="Q16" s="49" t="s">
        <v>51</v>
      </c>
      <c r="BY16" s="38"/>
      <c r="BZ16" s="38"/>
      <c r="CA16" s="38"/>
      <c r="CB16" s="38"/>
      <c r="CC16" s="38"/>
      <c r="CD16" s="38"/>
      <c r="CE16" s="38"/>
    </row>
    <row r="17">
      <c r="A17" s="28" t="n">
        <v>10.0</v>
      </c>
      <c r="B17" s="29" t="s">
        <v>46</v>
      </c>
      <c r="C17" s="30" t="s">
        <v>47</v>
      </c>
      <c r="D17" s="31" t="s">
        <v>64</v>
      </c>
      <c r="E17" s="31" t="s">
        <v>65</v>
      </c>
      <c r="F17" s="32" t="s">
        <v>66</v>
      </c>
      <c r="G17" s="33" t="s">
        <v>51</v>
      </c>
      <c r="H17" s="34" t="n">
        <v>0.2</v>
      </c>
      <c r="I17" s="35" t="n">
        <v>46193.0</v>
      </c>
      <c r="J17" s="35" t="n">
        <v>46193.0</v>
      </c>
      <c r="K17" s="35"/>
      <c r="L17" s="35"/>
      <c r="M17" s="36" t="str">
        <f>IF(OR(ISBLANK(K17),ISBLANK(L17)),"",NETWORKDAYS(K17,L17)/5)</f>
        <v/>
      </c>
      <c r="N17" s="37"/>
      <c r="O17" s="33" t="str">
        <f>IF($N17&gt;=1,"Completed",
 IF($N17=0,"Not Started",
 "In Progress"))</f>
        <v>Not Started</v>
      </c>
      <c r="P17" s="33" t="str">
        <f>IF($N17&gt;=1,
    IF($M17&gt;$K17,"Delayed","On Track"),
 IF(TODAY()&lt;$J17,
    "On Track",
 IF(AND($N17=0,TODAY()&gt;$K17),
    "Delayed",
 IF(AND($L17&lt;&gt;"",$L17&gt;$J17),
    "At Risk",
 IF(TODAY()&gt;$K17,
    "Delayed",
 "On Track")))))</f>
        <v>Delayed</v>
      </c>
      <c r="Q17" s="50" t="s">
        <v>51</v>
      </c>
      <c r="BY17" s="38"/>
      <c r="BZ17" s="38"/>
      <c r="CA17" s="38"/>
      <c r="CB17" s="38"/>
      <c r="CC17" s="38"/>
      <c r="CD17" s="38"/>
      <c r="CE17" s="38"/>
    </row>
    <row r="18">
      <c r="A18" s="28" t="n">
        <v>11.0</v>
      </c>
      <c r="B18" s="29" t="s">
        <v>46</v>
      </c>
      <c r="C18" s="30" t="s">
        <v>47</v>
      </c>
      <c r="D18" s="31" t="s">
        <v>64</v>
      </c>
      <c r="E18" s="31" t="s">
        <v>65</v>
      </c>
      <c r="F18" s="32" t="s">
        <v>67</v>
      </c>
      <c r="G18" s="33" t="s">
        <v>51</v>
      </c>
      <c r="H18" s="34" t="n">
        <v>1.0</v>
      </c>
      <c r="I18" s="35" t="n">
        <v>46193.0</v>
      </c>
      <c r="J18" s="35" t="n">
        <v>46198.0</v>
      </c>
      <c r="K18" s="35"/>
      <c r="L18" s="35"/>
      <c r="M18" s="36" t="str">
        <f>IF(OR(ISBLANK(K18),ISBLANK(L18)),"",NETWORKDAYS(K18,L18)/5)</f>
        <v/>
      </c>
      <c r="N18" s="37"/>
      <c r="O18" s="33" t="str">
        <f>IF($N18&gt;=1,"Completed",
 IF($N18=0,"Not Started",
 "In Progress"))</f>
        <v>Not Started</v>
      </c>
      <c r="P18" s="33" t="str">
        <f>IF($N18&gt;=1,
    IF($M18&gt;$K18,"Delayed","On Track"),
 IF(TODAY()&lt;$J18,
    "On Track",
 IF(AND($N18=0,TODAY()&gt;$K18),
    "Delayed",
 IF(AND($L18&lt;&gt;"",$L18&gt;$J18),
    "At Risk",
 IF(TODAY()&gt;$K18,
    "Delayed",
 "On Track")))))</f>
        <v>Delayed</v>
      </c>
      <c r="Q18" s="51" t="s">
        <v>51</v>
      </c>
      <c r="BY18" s="38"/>
      <c r="BZ18" s="38"/>
      <c r="CA18" s="38"/>
      <c r="CB18" s="38"/>
      <c r="CC18" s="38"/>
      <c r="CD18" s="38"/>
      <c r="CE18" s="38"/>
    </row>
    <row r="19">
      <c r="A19" s="28" t="n">
        <v>12.0</v>
      </c>
      <c r="B19" s="29" t="s">
        <v>46</v>
      </c>
      <c r="C19" s="30" t="s">
        <v>47</v>
      </c>
      <c r="D19" s="31" t="s">
        <v>64</v>
      </c>
      <c r="E19" s="31" t="s">
        <v>65</v>
      </c>
      <c r="F19" s="32" t="s">
        <v>68</v>
      </c>
      <c r="G19" s="33" t="s">
        <v>51</v>
      </c>
      <c r="H19" s="34" t="n">
        <v>0.2</v>
      </c>
      <c r="I19" s="35" t="n">
        <v>46193.0</v>
      </c>
      <c r="J19" s="35" t="n">
        <v>46193.0</v>
      </c>
      <c r="K19" s="35"/>
      <c r="L19" s="35"/>
      <c r="M19" s="36" t="str">
        <f>IF(OR(ISBLANK(K19),ISBLANK(L19)),"",NETWORKDAYS(K19,L19)/5)</f>
        <v/>
      </c>
      <c r="N19" s="37"/>
      <c r="O19" s="33" t="str">
        <f>IF($N19&gt;=1,"Completed",
 IF($N19=0,"Not Started",
 "In Progress"))</f>
        <v>Not Started</v>
      </c>
      <c r="P19" s="33" t="str">
        <f>IF($N19&gt;=1,
    IF($M19&gt;$K19,"Delayed","On Track"),
 IF(TODAY()&lt;$J19,
    "On Track",
 IF(AND($N19=0,TODAY()&gt;$K19),
    "Delayed",
 IF(AND($L19&lt;&gt;"",$L19&gt;$J19),
    "At Risk",
 IF(TODAY()&gt;$K19,
    "Delayed",
 "On Track")))))</f>
        <v>Delayed</v>
      </c>
      <c r="Q19" s="52" t="s">
        <v>51</v>
      </c>
      <c r="BY19" s="38"/>
      <c r="BZ19" s="38"/>
      <c r="CA19" s="38"/>
      <c r="CB19" s="38"/>
      <c r="CC19" s="38"/>
      <c r="CD19" s="38"/>
      <c r="CE19" s="38"/>
    </row>
    <row r="20">
      <c r="A20" s="28" t="n">
        <v>13.0</v>
      </c>
      <c r="B20" s="29" t="s">
        <v>46</v>
      </c>
      <c r="C20" s="30" t="s">
        <v>69</v>
      </c>
      <c r="D20" s="31" t="s">
        <v>70</v>
      </c>
      <c r="E20" s="31" t="s">
        <v>71</v>
      </c>
      <c r="F20" s="32" t="s">
        <v>72</v>
      </c>
      <c r="G20" s="33" t="s">
        <v>51</v>
      </c>
      <c r="H20" s="34" t="n">
        <v>3.0</v>
      </c>
      <c r="I20" s="35" t="n">
        <v>46188.0</v>
      </c>
      <c r="J20" s="35" t="n">
        <v>46206.0</v>
      </c>
      <c r="K20" s="35"/>
      <c r="L20" s="35"/>
      <c r="M20" s="36" t="str">
        <f>IF(OR(ISBLANK(K20),ISBLANK(L20)),"",NETWORKDAYS(K20,L20)/5)</f>
        <v/>
      </c>
      <c r="N20" s="37"/>
      <c r="O20" s="33" t="str">
        <f>IF($N20&gt;=1,"Completed",
 IF($N20=0,"Not Started",
 "In Progress"))</f>
        <v>Not Started</v>
      </c>
      <c r="P20" s="33" t="str">
        <f>IF($N20&gt;=1,
    IF($M20&gt;$K20,"Delayed","On Track"),
 IF(TODAY()&lt;$J20,
    "On Track",
 IF(AND($N20=0,TODAY()&gt;$K20),
    "Delayed",
 IF(AND($L20&lt;&gt;"",$L20&gt;$J20),
    "At Risk",
 IF(TODAY()&gt;$K20,
    "Delayed",
 "On Track")))))</f>
        <v>Delayed</v>
      </c>
      <c r="Q20" s="53" t="s">
        <v>51</v>
      </c>
      <c r="BY20" s="38"/>
      <c r="BZ20" s="38"/>
      <c r="CA20" s="38"/>
      <c r="CB20" s="38"/>
      <c r="CC20" s="38"/>
      <c r="CD20" s="38"/>
      <c r="CE20" s="38"/>
    </row>
    <row r="21">
      <c r="A21" s="28" t="n">
        <v>14.0</v>
      </c>
      <c r="B21" s="29" t="s">
        <v>46</v>
      </c>
      <c r="C21" s="30" t="s">
        <v>69</v>
      </c>
      <c r="D21" s="31" t="s">
        <v>70</v>
      </c>
      <c r="E21" s="31" t="s">
        <v>71</v>
      </c>
      <c r="F21" s="32" t="s">
        <v>73</v>
      </c>
      <c r="G21" s="33" t="s">
        <v>51</v>
      </c>
      <c r="H21" s="34" t="n">
        <v>3.0</v>
      </c>
      <c r="I21" s="35" t="n">
        <v>46188.0</v>
      </c>
      <c r="J21" s="35" t="n">
        <v>46206.0</v>
      </c>
      <c r="K21" s="35"/>
      <c r="L21" s="35"/>
      <c r="M21" s="36" t="str">
        <f>IF(OR(ISBLANK(K21),ISBLANK(L21)),"",NETWORKDAYS(K21,L21)/5)</f>
        <v/>
      </c>
      <c r="N21" s="37"/>
      <c r="O21" s="33" t="str">
        <f>IF($N21&gt;=1,"Completed",
 IF($N21=0,"Not Started",
 "In Progress"))</f>
        <v>Not Started</v>
      </c>
      <c r="P21" s="33" t="str">
        <f>IF($N21&gt;=1,
    IF($M21&gt;$K21,"Delayed","On Track"),
 IF(TODAY()&lt;$J21,
    "On Track",
 IF(AND($N21=0,TODAY()&gt;$K21),
    "Delayed",
 IF(AND($L21&lt;&gt;"",$L21&gt;$J21),
    "At Risk",
 IF(TODAY()&gt;$K21,
    "Delayed",
 "On Track")))))</f>
        <v>Delayed</v>
      </c>
      <c r="Q21" s="54" t="s">
        <v>51</v>
      </c>
      <c r="BY21" s="38"/>
      <c r="BZ21" s="38"/>
      <c r="CA21" s="38"/>
      <c r="CB21" s="38"/>
      <c r="CC21" s="38"/>
      <c r="CD21" s="38"/>
      <c r="CE21" s="38"/>
    </row>
    <row r="22">
      <c r="A22" s="28" t="n">
        <v>15.0</v>
      </c>
      <c r="B22" s="29" t="s">
        <v>46</v>
      </c>
      <c r="C22" s="30" t="s">
        <v>69</v>
      </c>
      <c r="D22" s="31" t="s">
        <v>70</v>
      </c>
      <c r="E22" s="31" t="s">
        <v>71</v>
      </c>
      <c r="F22" s="32" t="s">
        <v>74</v>
      </c>
      <c r="G22" s="33" t="s">
        <v>51</v>
      </c>
      <c r="H22" s="34" t="n">
        <v>3.0</v>
      </c>
      <c r="I22" s="35" t="n">
        <v>46188.0</v>
      </c>
      <c r="J22" s="35" t="n">
        <v>46206.0</v>
      </c>
      <c r="K22" s="35"/>
      <c r="L22" s="35"/>
      <c r="M22" s="36" t="str">
        <f>IF(OR(ISBLANK(K22),ISBLANK(L22)),"",NETWORKDAYS(K22,L22)/5)</f>
        <v/>
      </c>
      <c r="N22" s="37"/>
      <c r="O22" s="33" t="str">
        <f>IF($N22&gt;=1,"Completed",
 IF($N22=0,"Not Started",
 "In Progress"))</f>
        <v>Not Started</v>
      </c>
      <c r="P22" s="33" t="str">
        <f>IF($N22&gt;=1,
    IF($M22&gt;$K22,"Delayed","On Track"),
 IF(TODAY()&lt;$J22,
    "On Track",
 IF(AND($N22=0,TODAY()&gt;$K22),
    "Delayed",
 IF(AND($L22&lt;&gt;"",$L22&gt;$J22),
    "At Risk",
 IF(TODAY()&gt;$K22,
    "Delayed",
 "On Track")))))</f>
        <v>Delayed</v>
      </c>
      <c r="Q22" s="55" t="s">
        <v>51</v>
      </c>
      <c r="BY22" s="38"/>
      <c r="BZ22" s="38"/>
      <c r="CA22" s="38"/>
      <c r="CB22" s="38"/>
      <c r="CC22" s="38"/>
      <c r="CD22" s="38"/>
      <c r="CE22" s="38"/>
    </row>
    <row r="23">
      <c r="A23" s="28" t="n">
        <v>16.0</v>
      </c>
      <c r="B23" s="29" t="s">
        <v>46</v>
      </c>
      <c r="C23" s="30" t="s">
        <v>69</v>
      </c>
      <c r="D23" s="31" t="s">
        <v>75</v>
      </c>
      <c r="E23" s="31" t="s">
        <v>76</v>
      </c>
      <c r="F23" s="32" t="s">
        <v>77</v>
      </c>
      <c r="G23" s="33" t="s">
        <v>51</v>
      </c>
      <c r="H23" s="34" t="n">
        <v>3.0</v>
      </c>
      <c r="I23" s="35" t="n">
        <v>46188.0</v>
      </c>
      <c r="J23" s="35" t="n">
        <v>46206.0</v>
      </c>
      <c r="K23" s="35"/>
      <c r="L23" s="35"/>
      <c r="M23" s="36" t="str">
        <f>IF(OR(ISBLANK(K23),ISBLANK(L23)),"",NETWORKDAYS(K23,L23)/5)</f>
        <v/>
      </c>
      <c r="N23" s="37"/>
      <c r="O23" s="33" t="str">
        <f>IF($N23&gt;=1,"Completed",
 IF($N23=0,"Not Started",
 "In Progress"))</f>
        <v>Not Started</v>
      </c>
      <c r="P23" s="33" t="str">
        <f>IF($N23&gt;=1,
    IF($M23&gt;$K23,"Delayed","On Track"),
 IF(TODAY()&lt;$J23,
    "On Track",
 IF(AND($N23=0,TODAY()&gt;$K23),
    "Delayed",
 IF(AND($L23&lt;&gt;"",$L23&gt;$J23),
    "At Risk",
 IF(TODAY()&gt;$K23,
    "Delayed",
 "On Track")))))</f>
        <v>Delayed</v>
      </c>
      <c r="Q23" s="56" t="s">
        <v>51</v>
      </c>
      <c r="BY23" s="38"/>
      <c r="BZ23" s="38"/>
      <c r="CA23" s="38"/>
      <c r="CB23" s="38"/>
      <c r="CC23" s="38"/>
      <c r="CD23" s="38"/>
      <c r="CE23" s="38"/>
    </row>
    <row r="24">
      <c r="A24" s="28" t="n">
        <v>17.0</v>
      </c>
      <c r="B24" s="29" t="s">
        <v>46</v>
      </c>
      <c r="C24" s="30" t="s">
        <v>69</v>
      </c>
      <c r="D24" s="31" t="s">
        <v>75</v>
      </c>
      <c r="E24" s="31" t="s">
        <v>76</v>
      </c>
      <c r="F24" s="32" t="s">
        <v>78</v>
      </c>
      <c r="G24" s="33" t="s">
        <v>51</v>
      </c>
      <c r="H24" s="34" t="n">
        <v>3.0</v>
      </c>
      <c r="I24" s="35" t="n">
        <v>46188.0</v>
      </c>
      <c r="J24" s="35" t="n">
        <v>46206.0</v>
      </c>
      <c r="K24" s="35"/>
      <c r="L24" s="35"/>
      <c r="M24" s="36" t="str">
        <f>IF(OR(ISBLANK(K24),ISBLANK(L24)),"",NETWORKDAYS(K24,L24)/5)</f>
        <v/>
      </c>
      <c r="N24" s="37"/>
      <c r="O24" s="33" t="str">
        <f>IF($N24&gt;=1,"Completed",
 IF($N24=0,"Not Started",
 "In Progress"))</f>
        <v>Not Started</v>
      </c>
      <c r="P24" s="33" t="str">
        <f>IF($N24&gt;=1,
    IF($M24&gt;$K24,"Delayed","On Track"),
 IF(TODAY()&lt;$J24,
    "On Track",
 IF(AND($N24=0,TODAY()&gt;$K24),
    "Delayed",
 IF(AND($L24&lt;&gt;"",$L24&gt;$J24),
    "At Risk",
 IF(TODAY()&gt;$K24,
    "Delayed",
 "On Track")))))</f>
        <v>Delayed</v>
      </c>
      <c r="Q24" s="57" t="s">
        <v>51</v>
      </c>
      <c r="BY24" s="38"/>
      <c r="BZ24" s="38"/>
      <c r="CA24" s="38"/>
      <c r="CB24" s="38"/>
      <c r="CC24" s="38"/>
      <c r="CD24" s="38"/>
      <c r="CE24" s="38"/>
    </row>
    <row r="25">
      <c r="A25" s="28" t="n">
        <v>18.0</v>
      </c>
      <c r="B25" s="29" t="s">
        <v>46</v>
      </c>
      <c r="C25" s="30" t="s">
        <v>69</v>
      </c>
      <c r="D25" s="31" t="s">
        <v>79</v>
      </c>
      <c r="E25" s="31" t="s">
        <v>80</v>
      </c>
      <c r="F25" s="32" t="s">
        <v>81</v>
      </c>
      <c r="G25" s="33" t="s">
        <v>51</v>
      </c>
      <c r="H25" s="34" t="n">
        <v>3.0</v>
      </c>
      <c r="I25" s="35" t="n">
        <v>46188.0</v>
      </c>
      <c r="J25" s="35" t="n">
        <v>46206.0</v>
      </c>
      <c r="K25" s="35"/>
      <c r="L25" s="35"/>
      <c r="M25" s="36" t="str">
        <f>IF(OR(ISBLANK(K25),ISBLANK(L25)),"",NETWORKDAYS(K25,L25)/5)</f>
        <v/>
      </c>
      <c r="N25" s="37"/>
      <c r="O25" s="33" t="str">
        <f>IF($N25&gt;=1,"Completed",
 IF($N25=0,"Not Started",
 "In Progress"))</f>
        <v>Not Started</v>
      </c>
      <c r="P25" s="33" t="str">
        <f>IF($N25&gt;=1,
    IF($M25&gt;$K25,"Delayed","On Track"),
 IF(TODAY()&lt;$J25,
    "On Track",
 IF(AND($N25=0,TODAY()&gt;$K25),
    "Delayed",
 IF(AND($L25&lt;&gt;"",$L25&gt;$J25),
    "At Risk",
 IF(TODAY()&gt;$K25,
    "Delayed",
 "On Track")))))</f>
        <v>Delayed</v>
      </c>
      <c r="Q25" s="58" t="s">
        <v>51</v>
      </c>
      <c r="BY25" s="38"/>
      <c r="BZ25" s="38"/>
      <c r="CA25" s="38"/>
      <c r="CB25" s="38"/>
      <c r="CC25" s="38"/>
      <c r="CD25" s="38"/>
      <c r="CE25" s="38"/>
    </row>
    <row r="26">
      <c r="A26" s="28" t="n">
        <v>19.0</v>
      </c>
      <c r="B26" s="29" t="s">
        <v>46</v>
      </c>
      <c r="C26" s="30" t="s">
        <v>69</v>
      </c>
      <c r="D26" s="31" t="s">
        <v>79</v>
      </c>
      <c r="E26" s="31" t="s">
        <v>80</v>
      </c>
      <c r="F26" s="32" t="s">
        <v>82</v>
      </c>
      <c r="G26" s="33" t="s">
        <v>51</v>
      </c>
      <c r="H26" s="34" t="n">
        <v>3.0</v>
      </c>
      <c r="I26" s="35" t="n">
        <v>46188.0</v>
      </c>
      <c r="J26" s="35" t="n">
        <v>46206.0</v>
      </c>
      <c r="K26" s="35"/>
      <c r="L26" s="35"/>
      <c r="M26" s="36" t="str">
        <f>IF(OR(ISBLANK(K26),ISBLANK(L26)),"",NETWORKDAYS(K26,L26)/5)</f>
        <v/>
      </c>
      <c r="N26" s="37"/>
      <c r="O26" s="33" t="str">
        <f>IF($N26&gt;=1,"Completed",
 IF($N26=0,"Not Started",
 "In Progress"))</f>
        <v>Not Started</v>
      </c>
      <c r="P26" s="33" t="str">
        <f>IF($N26&gt;=1,
    IF($M26&gt;$K26,"Delayed","On Track"),
 IF(TODAY()&lt;$J26,
    "On Track",
 IF(AND($N26=0,TODAY()&gt;$K26),
    "Delayed",
 IF(AND($L26&lt;&gt;"",$L26&gt;$J26),
    "At Risk",
 IF(TODAY()&gt;$K26,
    "Delayed",
 "On Track")))))</f>
        <v>Delayed</v>
      </c>
      <c r="Q26" s="59" t="s">
        <v>51</v>
      </c>
      <c r="BY26" s="38"/>
      <c r="BZ26" s="38"/>
      <c r="CA26" s="38"/>
      <c r="CB26" s="38"/>
      <c r="CC26" s="38"/>
      <c r="CD26" s="38"/>
      <c r="CE26" s="38"/>
    </row>
    <row r="27">
      <c r="A27" s="28" t="n">
        <v>20.0</v>
      </c>
      <c r="B27" s="29" t="s">
        <v>46</v>
      </c>
      <c r="C27" s="30" t="s">
        <v>69</v>
      </c>
      <c r="D27" s="31" t="s">
        <v>83</v>
      </c>
      <c r="E27" s="31" t="s">
        <v>84</v>
      </c>
      <c r="F27" s="32" t="s">
        <v>85</v>
      </c>
      <c r="G27" s="33" t="s">
        <v>51</v>
      </c>
      <c r="H27" s="34" t="n">
        <v>3.0</v>
      </c>
      <c r="I27" s="35" t="n">
        <v>46188.0</v>
      </c>
      <c r="J27" s="35" t="n">
        <v>46206.0</v>
      </c>
      <c r="K27" s="35"/>
      <c r="L27" s="35"/>
      <c r="M27" s="36" t="str">
        <f>IF(OR(ISBLANK(K27),ISBLANK(L27)),"",NETWORKDAYS(K27,L27)/5)</f>
        <v/>
      </c>
      <c r="N27" s="37"/>
      <c r="O27" s="33" t="str">
        <f>IF($N27&gt;=1,"Completed",
 IF($N27=0,"Not Started",
 "In Progress"))</f>
        <v>Not Started</v>
      </c>
      <c r="P27" s="33" t="str">
        <f>IF($N27&gt;=1,
    IF($M27&gt;$K27,"Delayed","On Track"),
 IF(TODAY()&lt;$J27,
    "On Track",
 IF(AND($N27=0,TODAY()&gt;$K27),
    "Delayed",
 IF(AND($L27&lt;&gt;"",$L27&gt;$J27),
    "At Risk",
 IF(TODAY()&gt;$K27,
    "Delayed",
 "On Track")))))</f>
        <v>Delayed</v>
      </c>
      <c r="Q27" s="60" t="s">
        <v>51</v>
      </c>
      <c r="BY27" s="38"/>
      <c r="BZ27" s="38"/>
      <c r="CA27" s="38"/>
      <c r="CB27" s="38"/>
      <c r="CC27" s="38"/>
      <c r="CD27" s="38"/>
      <c r="CE27" s="38"/>
    </row>
    <row r="28">
      <c r="A28" s="28" t="n">
        <v>21.0</v>
      </c>
      <c r="B28" s="29" t="s">
        <v>46</v>
      </c>
      <c r="C28" s="30" t="s">
        <v>69</v>
      </c>
      <c r="D28" s="31" t="s">
        <v>83</v>
      </c>
      <c r="E28" s="31" t="s">
        <v>84</v>
      </c>
      <c r="F28" s="32" t="s">
        <v>86</v>
      </c>
      <c r="G28" s="33" t="s">
        <v>51</v>
      </c>
      <c r="H28" s="34" t="n">
        <v>3.0</v>
      </c>
      <c r="I28" s="35" t="n">
        <v>46188.0</v>
      </c>
      <c r="J28" s="35" t="n">
        <v>46206.0</v>
      </c>
      <c r="K28" s="35"/>
      <c r="L28" s="35"/>
      <c r="M28" s="36" t="str">
        <f>IF(OR(ISBLANK(K28),ISBLANK(L28)),"",NETWORKDAYS(K28,L28)/5)</f>
        <v/>
      </c>
      <c r="N28" s="37"/>
      <c r="O28" s="33" t="str">
        <f>IF($N28&gt;=1,"Completed",
 IF($N28=0,"Not Started",
 "In Progress"))</f>
        <v>Not Started</v>
      </c>
      <c r="P28" s="33" t="str">
        <f>IF($N28&gt;=1,
    IF($M28&gt;$K28,"Delayed","On Track"),
 IF(TODAY()&lt;$J28,
    "On Track",
 IF(AND($N28=0,TODAY()&gt;$K28),
    "Delayed",
 IF(AND($L28&lt;&gt;"",$L28&gt;$J28),
    "At Risk",
 IF(TODAY()&gt;$K28,
    "Delayed",
 "On Track")))))</f>
        <v>Delayed</v>
      </c>
      <c r="Q28" s="61" t="s">
        <v>51</v>
      </c>
      <c r="BY28" s="38"/>
      <c r="BZ28" s="38"/>
      <c r="CA28" s="38"/>
      <c r="CB28" s="38"/>
      <c r="CC28" s="38"/>
      <c r="CD28" s="38"/>
      <c r="CE28" s="38"/>
    </row>
    <row r="29">
      <c r="A29" s="28" t="n">
        <v>22.0</v>
      </c>
      <c r="B29" s="29" t="s">
        <v>46</v>
      </c>
      <c r="C29" s="30" t="s">
        <v>69</v>
      </c>
      <c r="D29" s="31" t="s">
        <v>83</v>
      </c>
      <c r="E29" s="31" t="s">
        <v>84</v>
      </c>
      <c r="F29" s="32" t="s">
        <v>87</v>
      </c>
      <c r="G29" s="33" t="s">
        <v>51</v>
      </c>
      <c r="H29" s="34" t="n">
        <v>3.0</v>
      </c>
      <c r="I29" s="35" t="n">
        <v>46188.0</v>
      </c>
      <c r="J29" s="35" t="n">
        <v>46206.0</v>
      </c>
      <c r="K29" s="35"/>
      <c r="L29" s="35"/>
      <c r="M29" s="36" t="str">
        <f>IF(OR(ISBLANK(K29),ISBLANK(L29)),"",NETWORKDAYS(K29,L29)/5)</f>
        <v/>
      </c>
      <c r="N29" s="37"/>
      <c r="O29" s="33" t="str">
        <f>IF($N29&gt;=1,"Completed",
 IF($N29=0,"Not Started",
 "In Progress"))</f>
        <v>Not Started</v>
      </c>
      <c r="P29" s="33" t="str">
        <f>IF($N29&gt;=1,
    IF($M29&gt;$K29,"Delayed","On Track"),
 IF(TODAY()&lt;$J29,
    "On Track",
 IF(AND($N29=0,TODAY()&gt;$K29),
    "Delayed",
 IF(AND($L29&lt;&gt;"",$L29&gt;$J29),
    "At Risk",
 IF(TODAY()&gt;$K29,
    "Delayed",
 "On Track")))))</f>
        <v>Delayed</v>
      </c>
      <c r="Q29" s="62" t="s">
        <v>51</v>
      </c>
      <c r="BY29" s="38"/>
      <c r="BZ29" s="38"/>
      <c r="CA29" s="38"/>
      <c r="CB29" s="38"/>
      <c r="CC29" s="38"/>
      <c r="CD29" s="38"/>
      <c r="CE29" s="38"/>
    </row>
    <row r="30">
      <c r="A30" s="28" t="n">
        <v>23.0</v>
      </c>
      <c r="B30" s="29" t="s">
        <v>46</v>
      </c>
      <c r="C30" s="30" t="s">
        <v>69</v>
      </c>
      <c r="D30" s="31" t="s">
        <v>88</v>
      </c>
      <c r="E30" s="31" t="s">
        <v>89</v>
      </c>
      <c r="F30" s="32" t="s">
        <v>90</v>
      </c>
      <c r="G30" s="33" t="s">
        <v>51</v>
      </c>
      <c r="H30" s="34" t="n">
        <v>2.0</v>
      </c>
      <c r="I30" s="35" t="n">
        <v>46202.0</v>
      </c>
      <c r="J30" s="35" t="n">
        <v>46213.0</v>
      </c>
      <c r="K30" s="35"/>
      <c r="L30" s="35"/>
      <c r="M30" s="36" t="str">
        <f>IF(OR(ISBLANK(K30),ISBLANK(L30)),"",NETWORKDAYS(K30,L30)/5)</f>
        <v/>
      </c>
      <c r="N30" s="37"/>
      <c r="O30" s="33" t="str">
        <f>IF($N30&gt;=1,"Completed",
 IF($N30=0,"Not Started",
 "In Progress"))</f>
        <v>Not Started</v>
      </c>
      <c r="P30" s="33" t="str">
        <f>IF($N30&gt;=1,
    IF($M30&gt;$K30,"Delayed","On Track"),
 IF(TODAY()&lt;$J30,
    "On Track",
 IF(AND($N30=0,TODAY()&gt;$K30),
    "Delayed",
 IF(AND($L30&lt;&gt;"",$L30&gt;$J30),
    "At Risk",
 IF(TODAY()&gt;$K30,
    "Delayed",
 "On Track")))))</f>
        <v>Delayed</v>
      </c>
      <c r="Q30" s="63" t="s">
        <v>51</v>
      </c>
      <c r="BY30" s="38"/>
      <c r="BZ30" s="38"/>
      <c r="CA30" s="38"/>
      <c r="CB30" s="38"/>
      <c r="CC30" s="38"/>
      <c r="CD30" s="38"/>
      <c r="CE30" s="38"/>
    </row>
    <row r="31">
      <c r="A31" s="28" t="n">
        <v>24.0</v>
      </c>
      <c r="B31" s="29" t="s">
        <v>46</v>
      </c>
      <c r="C31" s="30" t="s">
        <v>69</v>
      </c>
      <c r="D31" s="31" t="s">
        <v>88</v>
      </c>
      <c r="E31" s="31" t="s">
        <v>91</v>
      </c>
      <c r="F31" s="32" t="s">
        <v>92</v>
      </c>
      <c r="G31" s="33" t="s">
        <v>51</v>
      </c>
      <c r="H31" s="34" t="n">
        <v>2.0</v>
      </c>
      <c r="I31" s="35" t="n">
        <v>46202.0</v>
      </c>
      <c r="J31" s="35" t="n">
        <v>46213.0</v>
      </c>
      <c r="K31" s="35"/>
      <c r="L31" s="35"/>
      <c r="M31" s="36" t="str">
        <f>IF(OR(ISBLANK(K31),ISBLANK(L31)),"",NETWORKDAYS(K31,L31)/5)</f>
        <v/>
      </c>
      <c r="N31" s="37"/>
      <c r="O31" s="33" t="str">
        <f>IF($N31&gt;=1,"Completed",
 IF($N31=0,"Not Started",
 "In Progress"))</f>
        <v>Not Started</v>
      </c>
      <c r="P31" s="33" t="str">
        <f>IF($N31&gt;=1,
    IF($M31&gt;$K31,"Delayed","On Track"),
 IF(TODAY()&lt;$J31,
    "On Track",
 IF(AND($N31=0,TODAY()&gt;$K31),
    "Delayed",
 IF(AND($L31&lt;&gt;"",$L31&gt;$J31),
    "At Risk",
 IF(TODAY()&gt;$K31,
    "Delayed",
 "On Track")))))</f>
        <v>Delayed</v>
      </c>
      <c r="Q31" s="64" t="s">
        <v>51</v>
      </c>
      <c r="BY31" s="38"/>
      <c r="BZ31" s="38"/>
      <c r="CA31" s="38"/>
      <c r="CB31" s="38"/>
      <c r="CC31" s="38"/>
      <c r="CD31" s="38"/>
      <c r="CE31" s="38"/>
    </row>
    <row r="32">
      <c r="A32" s="28" t="n">
        <v>25.0</v>
      </c>
      <c r="B32" s="29" t="s">
        <v>46</v>
      </c>
      <c r="C32" s="30" t="s">
        <v>69</v>
      </c>
      <c r="D32" s="31" t="s">
        <v>88</v>
      </c>
      <c r="E32" s="31" t="s">
        <v>91</v>
      </c>
      <c r="F32" s="32" t="s">
        <v>93</v>
      </c>
      <c r="G32" s="33" t="s">
        <v>51</v>
      </c>
      <c r="H32" s="34" t="n">
        <v>2.0</v>
      </c>
      <c r="I32" s="35" t="n">
        <v>46202.0</v>
      </c>
      <c r="J32" s="35" t="n">
        <v>46213.0</v>
      </c>
      <c r="K32" s="35"/>
      <c r="L32" s="35"/>
      <c r="M32" s="36" t="str">
        <f>IF(OR(ISBLANK(K32),ISBLANK(L32)),"",NETWORKDAYS(K32,L32)/5)</f>
        <v/>
      </c>
      <c r="N32" s="37"/>
      <c r="O32" s="33" t="str">
        <f>IF($N32&gt;=1,"Completed",
 IF($N32=0,"Not Started",
 "In Progress"))</f>
        <v>Not Started</v>
      </c>
      <c r="P32" s="33" t="str">
        <f>IF($N32&gt;=1,
    IF($M32&gt;$K32,"Delayed","On Track"),
 IF(TODAY()&lt;$J32,
    "On Track",
 IF(AND($N32=0,TODAY()&gt;$K32),
    "Delayed",
 IF(AND($L32&lt;&gt;"",$L32&gt;$J32),
    "At Risk",
 IF(TODAY()&gt;$K32,
    "Delayed",
 "On Track")))))</f>
        <v>Delayed</v>
      </c>
      <c r="Q32" s="65" t="s">
        <v>51</v>
      </c>
      <c r="BY32" s="38"/>
      <c r="BZ32" s="38"/>
      <c r="CA32" s="38"/>
      <c r="CB32" s="38"/>
      <c r="CC32" s="38"/>
      <c r="CD32" s="38"/>
      <c r="CE32" s="38"/>
    </row>
    <row r="33">
      <c r="A33" s="28" t="n">
        <v>26.0</v>
      </c>
      <c r="B33" s="29" t="s">
        <v>46</v>
      </c>
      <c r="C33" s="30" t="s">
        <v>94</v>
      </c>
      <c r="D33" s="31" t="s">
        <v>95</v>
      </c>
      <c r="E33" s="31" t="s">
        <v>96</v>
      </c>
      <c r="F33" s="32" t="s">
        <v>97</v>
      </c>
      <c r="G33" s="33" t="s">
        <v>51</v>
      </c>
      <c r="H33" s="34" t="n">
        <v>2.0</v>
      </c>
      <c r="I33" s="35" t="n">
        <v>46195.0</v>
      </c>
      <c r="J33" s="35" t="n">
        <v>46206.0</v>
      </c>
      <c r="K33" s="35"/>
      <c r="L33" s="35"/>
      <c r="M33" s="36" t="str">
        <f>IF(OR(ISBLANK(K33),ISBLANK(L33)),"",NETWORKDAYS(K33,L33)/5)</f>
        <v/>
      </c>
      <c r="N33" s="37"/>
      <c r="O33" s="33" t="str">
        <f>IF($N33&gt;=1,"Completed",
 IF($N33=0,"Not Started",
 "In Progress"))</f>
        <v>Not Started</v>
      </c>
      <c r="P33" s="33" t="str">
        <f>IF($N33&gt;=1,
    IF($M33&gt;$K33,"Delayed","On Track"),
 IF(TODAY()&lt;$J33,
    "On Track",
 IF(AND($N33=0,TODAY()&gt;$K33),
    "Delayed",
 IF(AND($L33&lt;&gt;"",$L33&gt;$J33),
    "At Risk",
 IF(TODAY()&gt;$K33,
    "Delayed",
 "On Track")))))</f>
        <v>Delayed</v>
      </c>
      <c r="Q33" s="66" t="s">
        <v>51</v>
      </c>
      <c r="BY33" s="38"/>
      <c r="BZ33" s="38"/>
      <c r="CA33" s="38"/>
      <c r="CB33" s="38"/>
      <c r="CC33" s="38"/>
      <c r="CD33" s="38"/>
      <c r="CE33" s="38"/>
    </row>
    <row r="34">
      <c r="A34" s="28" t="n">
        <v>27.0</v>
      </c>
      <c r="B34" s="29" t="s">
        <v>46</v>
      </c>
      <c r="C34" s="30" t="s">
        <v>94</v>
      </c>
      <c r="D34" s="31" t="s">
        <v>95</v>
      </c>
      <c r="E34" s="31" t="s">
        <v>98</v>
      </c>
      <c r="F34" s="32" t="s">
        <v>99</v>
      </c>
      <c r="G34" s="33" t="s">
        <v>51</v>
      </c>
      <c r="H34" s="34" t="n">
        <v>1.0</v>
      </c>
      <c r="I34" s="35" t="n">
        <v>46209.0</v>
      </c>
      <c r="J34" s="35" t="n">
        <v>46213.0</v>
      </c>
      <c r="K34" s="35"/>
      <c r="L34" s="35"/>
      <c r="M34" s="36" t="str">
        <f>IF(OR(ISBLANK(K34),ISBLANK(L34)),"",NETWORKDAYS(K34,L34)/5)</f>
        <v/>
      </c>
      <c r="N34" s="37"/>
      <c r="O34" s="33" t="str">
        <f>IF($N34&gt;=1,"Completed",
 IF($N34=0,"Not Started",
 "In Progress"))</f>
        <v>Not Started</v>
      </c>
      <c r="P34" s="33" t="str">
        <f>IF($N34&gt;=1,
    IF($M34&gt;$K34,"Delayed","On Track"),
 IF(TODAY()&lt;$J34,
    "On Track",
 IF(AND($N34=0,TODAY()&gt;$K34),
    "Delayed",
 IF(AND($L34&lt;&gt;"",$L34&gt;$J34),
    "At Risk",
 IF(TODAY()&gt;$K34,
    "Delayed",
 "On Track")))))</f>
        <v>Delayed</v>
      </c>
      <c r="Q34" s="67" t="s">
        <v>51</v>
      </c>
      <c r="BY34" s="38"/>
      <c r="BZ34" s="38"/>
      <c r="CA34" s="38"/>
      <c r="CB34" s="38"/>
      <c r="CC34" s="38"/>
      <c r="CD34" s="38"/>
      <c r="CE34" s="38"/>
    </row>
    <row r="35">
      <c r="A35" s="28" t="n">
        <v>28.0</v>
      </c>
      <c r="B35" s="29" t="s">
        <v>46</v>
      </c>
      <c r="C35" s="30" t="s">
        <v>94</v>
      </c>
      <c r="D35" s="31" t="s">
        <v>100</v>
      </c>
      <c r="E35" s="31" t="s">
        <v>101</v>
      </c>
      <c r="F35" s="32" t="s">
        <v>102</v>
      </c>
      <c r="G35" s="33" t="s">
        <v>51</v>
      </c>
      <c r="H35" s="34" t="n">
        <v>1.0</v>
      </c>
      <c r="I35" s="35" t="n">
        <v>46209.0</v>
      </c>
      <c r="J35" s="35" t="n">
        <v>46213.0</v>
      </c>
      <c r="K35" s="35"/>
      <c r="L35" s="35"/>
      <c r="M35" s="36" t="str">
        <f>IF(OR(ISBLANK(K35),ISBLANK(L35)),"",NETWORKDAYS(K35,L35)/5)</f>
        <v/>
      </c>
      <c r="N35" s="37"/>
      <c r="O35" s="33" t="str">
        <f>IF($N35&gt;=1,"Completed",
 IF($N35=0,"Not Started",
 "In Progress"))</f>
        <v>Not Started</v>
      </c>
      <c r="P35" s="33" t="str">
        <f>IF($N35&gt;=1,
    IF($M35&gt;$K35,"Delayed","On Track"),
 IF(TODAY()&lt;$J35,
    "On Track",
 IF(AND($N35=0,TODAY()&gt;$K35),
    "Delayed",
 IF(AND($L35&lt;&gt;"",$L35&gt;$J35),
    "At Risk",
 IF(TODAY()&gt;$K35,
    "Delayed",
 "On Track")))))</f>
        <v>Delayed</v>
      </c>
      <c r="Q35" s="68" t="s">
        <v>51</v>
      </c>
      <c r="BY35" s="38"/>
      <c r="BZ35" s="38"/>
      <c r="CA35" s="38"/>
      <c r="CB35" s="38"/>
      <c r="CC35" s="38"/>
      <c r="CD35" s="38"/>
      <c r="CE35" s="38"/>
    </row>
    <row r="36">
      <c r="A36" s="28" t="n">
        <v>29.0</v>
      </c>
      <c r="B36" s="29" t="s">
        <v>46</v>
      </c>
      <c r="C36" s="30" t="s">
        <v>94</v>
      </c>
      <c r="D36" s="31" t="s">
        <v>100</v>
      </c>
      <c r="E36" s="31" t="s">
        <v>103</v>
      </c>
      <c r="F36" s="32" t="s">
        <v>104</v>
      </c>
      <c r="G36" s="33" t="s">
        <v>51</v>
      </c>
      <c r="H36" s="34" t="n">
        <v>1.0</v>
      </c>
      <c r="I36" s="35" t="n">
        <v>46209.0</v>
      </c>
      <c r="J36" s="35" t="n">
        <v>46213.0</v>
      </c>
      <c r="K36" s="35"/>
      <c r="L36" s="35"/>
      <c r="M36" s="36" t="str">
        <f>IF(OR(ISBLANK(K36),ISBLANK(L36)),"",NETWORKDAYS(K36,L36)/5)</f>
        <v/>
      </c>
      <c r="N36" s="37"/>
      <c r="O36" s="33" t="str">
        <f>IF($N36&gt;=1,"Completed",
 IF($N36=0,"Not Started",
 "In Progress"))</f>
        <v>Not Started</v>
      </c>
      <c r="P36" s="33" t="str">
        <f>IF($N36&gt;=1,
    IF($M36&gt;$K36,"Delayed","On Track"),
 IF(TODAY()&lt;$J36,
    "On Track",
 IF(AND($N36=0,TODAY()&gt;$K36),
    "Delayed",
 IF(AND($L36&lt;&gt;"",$L36&gt;$J36),
    "At Risk",
 IF(TODAY()&gt;$K36,
    "Delayed",
 "On Track")))))</f>
        <v>Delayed</v>
      </c>
      <c r="Q36" s="69" t="s">
        <v>51</v>
      </c>
      <c r="BY36" s="38"/>
      <c r="BZ36" s="38"/>
      <c r="CA36" s="38"/>
      <c r="CB36" s="38"/>
      <c r="CC36" s="38"/>
      <c r="CD36" s="38"/>
      <c r="CE36" s="38"/>
    </row>
    <row r="37">
      <c r="A37" s="28" t="n">
        <v>30.0</v>
      </c>
      <c r="B37" s="29" t="s">
        <v>46</v>
      </c>
      <c r="C37" s="30" t="s">
        <v>94</v>
      </c>
      <c r="D37" s="31" t="s">
        <v>100</v>
      </c>
      <c r="E37" s="31" t="s">
        <v>105</v>
      </c>
      <c r="F37" s="32" t="s">
        <v>106</v>
      </c>
      <c r="G37" s="33" t="s">
        <v>51</v>
      </c>
      <c r="H37" s="34" t="n">
        <v>1.0</v>
      </c>
      <c r="I37" s="35" t="n">
        <v>46209.0</v>
      </c>
      <c r="J37" s="35" t="n">
        <v>46213.0</v>
      </c>
      <c r="K37" s="35"/>
      <c r="L37" s="35"/>
      <c r="M37" s="36" t="str">
        <f>IF(OR(ISBLANK(K37),ISBLANK(L37)),"",NETWORKDAYS(K37,L37)/5)</f>
        <v/>
      </c>
      <c r="N37" s="37"/>
      <c r="O37" s="33" t="str">
        <f>IF($N37&gt;=1,"Completed",
 IF($N37=0,"Not Started",
 "In Progress"))</f>
        <v>Not Started</v>
      </c>
      <c r="P37" s="33" t="str">
        <f>IF($N37&gt;=1,
    IF($M37&gt;$K37,"Delayed","On Track"),
 IF(TODAY()&lt;$J37,
    "On Track",
 IF(AND($N37=0,TODAY()&gt;$K37),
    "Delayed",
 IF(AND($L37&lt;&gt;"",$L37&gt;$J37),
    "At Risk",
 IF(TODAY()&gt;$K37,
    "Delayed",
 "On Track")))))</f>
        <v>Delayed</v>
      </c>
      <c r="Q37" s="70" t="s">
        <v>51</v>
      </c>
      <c r="BY37" s="38"/>
      <c r="BZ37" s="38"/>
      <c r="CA37" s="38"/>
      <c r="CB37" s="38"/>
      <c r="CC37" s="38"/>
      <c r="CD37" s="38"/>
      <c r="CE37" s="38"/>
    </row>
    <row r="38">
      <c r="A38" s="28" t="n">
        <v>31.0</v>
      </c>
      <c r="B38" s="29" t="s">
        <v>46</v>
      </c>
      <c r="C38" s="30" t="s">
        <v>94</v>
      </c>
      <c r="D38" s="31" t="s">
        <v>100</v>
      </c>
      <c r="E38" s="31" t="s">
        <v>107</v>
      </c>
      <c r="F38" s="32" t="s">
        <v>108</v>
      </c>
      <c r="G38" s="33" t="s">
        <v>51</v>
      </c>
      <c r="H38" s="34" t="n">
        <v>1.0</v>
      </c>
      <c r="I38" s="35" t="n">
        <v>46209.0</v>
      </c>
      <c r="J38" s="35" t="n">
        <v>46213.0</v>
      </c>
      <c r="K38" s="35"/>
      <c r="L38" s="35"/>
      <c r="M38" s="36" t="str">
        <f>IF(OR(ISBLANK(K38),ISBLANK(L38)),"",NETWORKDAYS(K38,L38)/5)</f>
        <v/>
      </c>
      <c r="N38" s="37"/>
      <c r="O38" s="33" t="str">
        <f>IF($N38&gt;=1,"Completed",
 IF($N38=0,"Not Started",
 "In Progress"))</f>
        <v>Not Started</v>
      </c>
      <c r="P38" s="33" t="str">
        <f>IF($N38&gt;=1,
    IF($M38&gt;$K38,"Delayed","On Track"),
 IF(TODAY()&lt;$J38,
    "On Track",
 IF(AND($N38=0,TODAY()&gt;$K38),
    "Delayed",
 IF(AND($L38&lt;&gt;"",$L38&gt;$J38),
    "At Risk",
 IF(TODAY()&gt;$K38,
    "Delayed",
 "On Track")))))</f>
        <v>Delayed</v>
      </c>
      <c r="Q38" s="71" t="s">
        <v>51</v>
      </c>
      <c r="BY38" s="38"/>
      <c r="BZ38" s="38"/>
      <c r="CA38" s="38"/>
      <c r="CB38" s="38"/>
      <c r="CC38" s="38"/>
      <c r="CD38" s="38"/>
      <c r="CE38" s="38"/>
    </row>
    <row r="39">
      <c r="A39" s="28" t="n">
        <v>32.0</v>
      </c>
      <c r="B39" s="29" t="s">
        <v>46</v>
      </c>
      <c r="C39" s="30" t="s">
        <v>94</v>
      </c>
      <c r="D39" s="31" t="s">
        <v>100</v>
      </c>
      <c r="E39" s="31" t="s">
        <v>109</v>
      </c>
      <c r="F39" s="32" t="s">
        <v>110</v>
      </c>
      <c r="G39" s="33" t="s">
        <v>51</v>
      </c>
      <c r="H39" s="34" t="n">
        <v>1.0</v>
      </c>
      <c r="I39" s="35" t="n">
        <v>46216.0</v>
      </c>
      <c r="J39" s="35" t="n">
        <v>46220.0</v>
      </c>
      <c r="K39" s="35"/>
      <c r="L39" s="35"/>
      <c r="M39" s="36" t="str">
        <f>IF(OR(ISBLANK(K39),ISBLANK(L39)),"",NETWORKDAYS(K39,L39)/5)</f>
        <v/>
      </c>
      <c r="N39" s="37"/>
      <c r="O39" s="33" t="str">
        <f>IF($N39&gt;=1,"Completed",
 IF($N39=0,"Not Started",
 "In Progress"))</f>
        <v>Not Started</v>
      </c>
      <c r="P39" s="33" t="str">
        <f>IF($N39&gt;=1,
    IF($M39&gt;$K39,"Delayed","On Track"),
 IF(TODAY()&lt;$J39,
    "On Track",
 IF(AND($N39=0,TODAY()&gt;$K39),
    "Delayed",
 IF(AND($L39&lt;&gt;"",$L39&gt;$J39),
    "At Risk",
 IF(TODAY()&gt;$K39,
    "Delayed",
 "On Track")))))</f>
        <v>Delayed</v>
      </c>
      <c r="Q39" s="72" t="s">
        <v>51</v>
      </c>
      <c r="BY39" s="38"/>
      <c r="BZ39" s="38"/>
      <c r="CA39" s="38"/>
      <c r="CB39" s="38"/>
      <c r="CC39" s="38"/>
      <c r="CD39" s="38"/>
      <c r="CE39" s="38"/>
    </row>
    <row r="40">
      <c r="A40" s="28" t="n">
        <v>33.0</v>
      </c>
      <c r="B40" s="29" t="s">
        <v>46</v>
      </c>
      <c r="C40" s="30" t="s">
        <v>94</v>
      </c>
      <c r="D40" s="31" t="s">
        <v>111</v>
      </c>
      <c r="E40" s="31" t="s">
        <v>112</v>
      </c>
      <c r="F40" s="32" t="s">
        <v>113</v>
      </c>
      <c r="G40" s="33" t="s">
        <v>51</v>
      </c>
      <c r="H40" s="34" t="n">
        <v>1.0</v>
      </c>
      <c r="I40" s="35" t="n">
        <v>46216.0</v>
      </c>
      <c r="J40" s="35" t="n">
        <v>46220.0</v>
      </c>
      <c r="K40" s="35"/>
      <c r="L40" s="35"/>
      <c r="M40" s="36" t="str">
        <f>IF(OR(ISBLANK(K40),ISBLANK(L40)),"",NETWORKDAYS(K40,L40)/5)</f>
        <v/>
      </c>
      <c r="N40" s="37"/>
      <c r="O40" s="33" t="str">
        <f>IF($N40&gt;=1,"Completed",
 IF($N40=0,"Not Started",
 "In Progress"))</f>
        <v>Not Started</v>
      </c>
      <c r="P40" s="33" t="str">
        <f>IF($N40&gt;=1,
    IF($M40&gt;$K40,"Delayed","On Track"),
 IF(TODAY()&lt;$J40,
    "On Track",
 IF(AND($N40=0,TODAY()&gt;$K40),
    "Delayed",
 IF(AND($L40&lt;&gt;"",$L40&gt;$J40),
    "At Risk",
 IF(TODAY()&gt;$K40,
    "Delayed",
 "On Track")))))</f>
        <v>Delayed</v>
      </c>
      <c r="Q40" s="73" t="s">
        <v>51</v>
      </c>
      <c r="BY40" s="38"/>
      <c r="BZ40" s="38"/>
      <c r="CA40" s="38"/>
      <c r="CB40" s="38"/>
      <c r="CC40" s="38"/>
      <c r="CD40" s="38"/>
      <c r="CE40" s="38"/>
    </row>
    <row r="41">
      <c r="A41" s="28" t="n">
        <v>34.0</v>
      </c>
      <c r="B41" s="29" t="s">
        <v>46</v>
      </c>
      <c r="C41" s="30" t="s">
        <v>94</v>
      </c>
      <c r="D41" s="31" t="s">
        <v>111</v>
      </c>
      <c r="E41" s="31" t="s">
        <v>114</v>
      </c>
      <c r="F41" s="32" t="s">
        <v>115</v>
      </c>
      <c r="G41" s="33" t="s">
        <v>51</v>
      </c>
      <c r="H41" s="34" t="n">
        <v>0.4</v>
      </c>
      <c r="I41" s="35" t="n">
        <v>46220.0</v>
      </c>
      <c r="J41" s="35" t="n">
        <v>46223.0</v>
      </c>
      <c r="K41" s="35"/>
      <c r="L41" s="35"/>
      <c r="M41" s="36" t="str">
        <f>IF(OR(ISBLANK(K41),ISBLANK(L41)),"",NETWORKDAYS(K41,L41)/5)</f>
        <v/>
      </c>
      <c r="N41" s="37"/>
      <c r="O41" s="33" t="str">
        <f>IF($N41&gt;=1,"Completed",
 IF($N41=0,"Not Started",
 "In Progress"))</f>
        <v>Not Started</v>
      </c>
      <c r="P41" s="33" t="str">
        <f>IF($N41&gt;=1,
    IF($M41&gt;$K41,"Delayed","On Track"),
 IF(TODAY()&lt;$J41,
    "On Track",
 IF(AND($N41=0,TODAY()&gt;$K41),
    "Delayed",
 IF(AND($L41&lt;&gt;"",$L41&gt;$J41),
    "At Risk",
 IF(TODAY()&gt;$K41,
    "Delayed",
 "On Track")))))</f>
        <v>Delayed</v>
      </c>
      <c r="Q41" s="74" t="s">
        <v>51</v>
      </c>
      <c r="BY41" s="38"/>
      <c r="BZ41" s="38"/>
      <c r="CA41" s="38"/>
      <c r="CB41" s="38"/>
      <c r="CC41" s="38"/>
      <c r="CD41" s="38"/>
      <c r="CE41" s="38"/>
    </row>
    <row r="42">
      <c r="A42" s="28" t="n">
        <v>35.0</v>
      </c>
      <c r="B42" s="29" t="s">
        <v>46</v>
      </c>
      <c r="C42" s="30" t="s">
        <v>94</v>
      </c>
      <c r="D42" s="31" t="s">
        <v>116</v>
      </c>
      <c r="E42" s="31" t="s">
        <v>117</v>
      </c>
      <c r="F42" s="32" t="s">
        <v>118</v>
      </c>
      <c r="G42" s="33" t="s">
        <v>51</v>
      </c>
      <c r="H42" s="34" t="n">
        <v>0.4</v>
      </c>
      <c r="I42" s="35" t="n">
        <v>46224.0</v>
      </c>
      <c r="J42" s="35" t="n">
        <v>46225.0</v>
      </c>
      <c r="K42" s="35"/>
      <c r="L42" s="35"/>
      <c r="M42" s="36" t="str">
        <f>IF(OR(ISBLANK(K42),ISBLANK(L42)),"",NETWORKDAYS(K42,L42)/5)</f>
        <v/>
      </c>
      <c r="N42" s="37"/>
      <c r="O42" s="33" t="str">
        <f>IF($N42&gt;=1,"Completed",
 IF($N42=0,"Not Started",
 "In Progress"))</f>
        <v>Not Started</v>
      </c>
      <c r="P42" s="33" t="str">
        <f>IF($N42&gt;=1,
    IF($M42&gt;$K42,"Delayed","On Track"),
 IF(TODAY()&lt;$J42,
    "On Track",
 IF(AND($N42=0,TODAY()&gt;$K42),
    "Delayed",
 IF(AND($L42&lt;&gt;"",$L42&gt;$J42),
    "At Risk",
 IF(TODAY()&gt;$K42,
    "Delayed",
 "On Track")))))</f>
        <v>Delayed</v>
      </c>
      <c r="Q42" s="75" t="s">
        <v>51</v>
      </c>
      <c r="BY42" s="38"/>
      <c r="BZ42" s="38"/>
      <c r="CA42" s="38"/>
      <c r="CB42" s="38"/>
      <c r="CC42" s="38"/>
      <c r="CD42" s="38"/>
      <c r="CE42" s="38"/>
    </row>
    <row r="43">
      <c r="A43" s="28" t="n">
        <v>36.0</v>
      </c>
      <c r="B43" s="29" t="s">
        <v>46</v>
      </c>
      <c r="C43" s="30" t="s">
        <v>119</v>
      </c>
      <c r="D43" s="31" t="s">
        <v>120</v>
      </c>
      <c r="E43" s="31" t="s">
        <v>121</v>
      </c>
      <c r="F43" s="32" t="s">
        <v>122</v>
      </c>
      <c r="G43" s="33" t="s">
        <v>51</v>
      </c>
      <c r="H43" s="34" t="n">
        <v>0.4</v>
      </c>
      <c r="I43" s="35" t="n">
        <v>46226.0</v>
      </c>
      <c r="J43" s="35" t="n">
        <v>46227.0</v>
      </c>
      <c r="K43" s="35"/>
      <c r="L43" s="35"/>
      <c r="M43" s="36" t="str">
        <f>IF(OR(ISBLANK(K43),ISBLANK(L43)),"",NETWORKDAYS(K43,L43)/5)</f>
        <v/>
      </c>
      <c r="N43" s="37"/>
      <c r="O43" s="33" t="str">
        <f>IF($N43&gt;=1,"Completed",
 IF($N43=0,"Not Started",
 "In Progress"))</f>
        <v>Not Started</v>
      </c>
      <c r="P43" s="33" t="str">
        <f>IF($N43&gt;=1,
    IF($M43&gt;$K43,"Delayed","On Track"),
 IF(TODAY()&lt;$J43,
    "On Track",
 IF(AND($N43=0,TODAY()&gt;$K43),
    "Delayed",
 IF(AND($L43&lt;&gt;"",$L43&gt;$J43),
    "At Risk",
 IF(TODAY()&gt;$K43,
    "Delayed",
 "On Track")))))</f>
        <v>Delayed</v>
      </c>
      <c r="Q43" s="76" t="s">
        <v>51</v>
      </c>
      <c r="BY43" s="38"/>
      <c r="BZ43" s="38"/>
      <c r="CA43" s="38"/>
      <c r="CB43" s="38"/>
      <c r="CC43" s="38"/>
      <c r="CD43" s="38"/>
      <c r="CE43" s="38"/>
    </row>
    <row r="44">
      <c r="A44" s="28" t="n">
        <v>37.0</v>
      </c>
      <c r="B44" s="29" t="s">
        <v>46</v>
      </c>
      <c r="C44" s="30" t="s">
        <v>119</v>
      </c>
      <c r="D44" s="31" t="s">
        <v>120</v>
      </c>
      <c r="E44" s="31" t="s">
        <v>121</v>
      </c>
      <c r="F44" s="32" t="s">
        <v>123</v>
      </c>
      <c r="G44" s="33" t="s">
        <v>51</v>
      </c>
      <c r="H44" s="34" t="n">
        <v>0.4</v>
      </c>
      <c r="I44" s="35" t="n">
        <v>46230.0</v>
      </c>
      <c r="J44" s="35" t="n">
        <v>46231.0</v>
      </c>
      <c r="K44" s="35"/>
      <c r="L44" s="35"/>
      <c r="M44" s="36" t="str">
        <f>IF(OR(ISBLANK(K44),ISBLANK(L44)),"",NETWORKDAYS(K44,L44)/5)</f>
        <v/>
      </c>
      <c r="N44" s="37"/>
      <c r="O44" s="33" t="str">
        <f>IF($N44&gt;=1,"Completed",
 IF($N44=0,"Not Started",
 "In Progress"))</f>
        <v>Not Started</v>
      </c>
      <c r="P44" s="33" t="str">
        <f>IF($N44&gt;=1,
    IF($M44&gt;$K44,"Delayed","On Track"),
 IF(TODAY()&lt;$J44,
    "On Track",
 IF(AND($N44=0,TODAY()&gt;$K44),
    "Delayed",
 IF(AND($L44&lt;&gt;"",$L44&gt;$J44),
    "At Risk",
 IF(TODAY()&gt;$K44,
    "Delayed",
 "On Track")))))</f>
        <v>On Track</v>
      </c>
      <c r="Q44" s="77" t="s">
        <v>51</v>
      </c>
      <c r="BY44" s="38"/>
      <c r="BZ44" s="38"/>
      <c r="CA44" s="38"/>
      <c r="CB44" s="38"/>
      <c r="CC44" s="38"/>
      <c r="CD44" s="38"/>
      <c r="CE44" s="38"/>
    </row>
    <row r="45">
      <c r="A45" s="28" t="n">
        <v>38.0</v>
      </c>
      <c r="B45" s="29" t="s">
        <v>46</v>
      </c>
      <c r="C45" s="30" t="s">
        <v>119</v>
      </c>
      <c r="D45" s="31" t="s">
        <v>124</v>
      </c>
      <c r="E45" s="31" t="s">
        <v>125</v>
      </c>
      <c r="F45" s="32" t="s">
        <v>126</v>
      </c>
      <c r="G45" s="33" t="s">
        <v>51</v>
      </c>
      <c r="H45" s="34" t="n">
        <v>0.8</v>
      </c>
      <c r="I45" s="35" t="n">
        <v>46232.0</v>
      </c>
      <c r="J45" s="35" t="n">
        <v>46237.0</v>
      </c>
      <c r="K45" s="35"/>
      <c r="L45" s="35"/>
      <c r="M45" s="36" t="str">
        <f>IF(OR(ISBLANK(K45),ISBLANK(L45)),"",NETWORKDAYS(K45,L45)/5)</f>
        <v/>
      </c>
      <c r="N45" s="37"/>
      <c r="O45" s="33" t="str">
        <f>IF($N45&gt;=1,"Completed",
 IF($N45=0,"Not Started",
 "In Progress"))</f>
        <v>Not Started</v>
      </c>
      <c r="P45" s="33" t="str">
        <f>IF($N45&gt;=1,
    IF($M45&gt;$K45,"Delayed","On Track"),
 IF(TODAY()&lt;$J45,
    "On Track",
 IF(AND($N45=0,TODAY()&gt;$K45),
    "Delayed",
 IF(AND($L45&lt;&gt;"",$L45&gt;$J45),
    "At Risk",
 IF(TODAY()&gt;$K45,
    "Delayed",
 "On Track")))))</f>
        <v>On Track</v>
      </c>
      <c r="Q45" s="78" t="s">
        <v>51</v>
      </c>
      <c r="BY45" s="38"/>
      <c r="BZ45" s="38"/>
      <c r="CA45" s="38"/>
      <c r="CB45" s="38"/>
      <c r="CC45" s="38"/>
      <c r="CD45" s="38"/>
      <c r="CE45" s="38"/>
    </row>
    <row r="46">
      <c r="A46" s="28" t="n">
        <v>39.0</v>
      </c>
      <c r="B46" s="29" t="s">
        <v>46</v>
      </c>
      <c r="C46" s="30" t="s">
        <v>119</v>
      </c>
      <c r="D46" s="31" t="s">
        <v>127</v>
      </c>
      <c r="E46" s="31" t="s">
        <v>128</v>
      </c>
      <c r="F46" s="32" t="s">
        <v>129</v>
      </c>
      <c r="G46" s="33" t="s">
        <v>51</v>
      </c>
      <c r="H46" s="34" t="n">
        <v>0.2</v>
      </c>
      <c r="I46" s="35" t="n">
        <v>46238.0</v>
      </c>
      <c r="J46" s="35" t="n">
        <v>46238.0</v>
      </c>
      <c r="K46" s="35"/>
      <c r="L46" s="35"/>
      <c r="M46" s="36" t="str">
        <f>IF(OR(ISBLANK(K46),ISBLANK(L46)),"",NETWORKDAYS(K46,L46)/5)</f>
        <v/>
      </c>
      <c r="N46" s="37"/>
      <c r="O46" s="33" t="str">
        <f>IF($N46&gt;=1,"Completed",
 IF($N46=0,"Not Started",
 "In Progress"))</f>
        <v>Not Started</v>
      </c>
      <c r="P46" s="33" t="str">
        <f>IF($N46&gt;=1,
    IF($M46&gt;$K46,"Delayed","On Track"),
 IF(TODAY()&lt;$J46,
    "On Track",
 IF(AND($N46=0,TODAY()&gt;$K46),
    "Delayed",
 IF(AND($L46&lt;&gt;"",$L46&gt;$J46),
    "At Risk",
 IF(TODAY()&gt;$K46,
    "Delayed",
 "On Track")))))</f>
        <v>On Track</v>
      </c>
      <c r="Q46" s="79" t="s">
        <v>51</v>
      </c>
      <c r="BY46" s="38"/>
      <c r="BZ46" s="38"/>
      <c r="CA46" s="38"/>
      <c r="CB46" s="38"/>
      <c r="CC46" s="38"/>
      <c r="CD46" s="38"/>
      <c r="CE46" s="38"/>
    </row>
    <row r="47">
      <c r="A47" s="28" t="n">
        <v>40.0</v>
      </c>
      <c r="B47" s="29" t="s">
        <v>46</v>
      </c>
      <c r="C47" s="30" t="s">
        <v>119</v>
      </c>
      <c r="D47" s="31" t="s">
        <v>130</v>
      </c>
      <c r="E47" s="31" t="s">
        <v>131</v>
      </c>
      <c r="F47" s="32" t="s">
        <v>132</v>
      </c>
      <c r="G47" s="33" t="s">
        <v>51</v>
      </c>
      <c r="H47" s="34" t="n">
        <v>0.6</v>
      </c>
      <c r="I47" s="35" t="n">
        <v>46239.0</v>
      </c>
      <c r="J47" s="35" t="n">
        <v>46241.0</v>
      </c>
      <c r="K47" s="35"/>
      <c r="L47" s="35"/>
      <c r="M47" s="36" t="str">
        <f>IF(OR(ISBLANK(K47),ISBLANK(L47)),"",NETWORKDAYS(K47,L47)/5)</f>
        <v/>
      </c>
      <c r="N47" s="37"/>
      <c r="O47" s="33" t="str">
        <f>IF($N47&gt;=1,"Completed",
 IF($N47=0,"Not Started",
 "In Progress"))</f>
        <v>Not Started</v>
      </c>
      <c r="P47" s="33" t="str">
        <f>IF($N47&gt;=1,
    IF($M47&gt;$K47,"Delayed","On Track"),
 IF(TODAY()&lt;$J47,
    "On Track",
 IF(AND($N47=0,TODAY()&gt;$K47),
    "Delayed",
 IF(AND($L47&lt;&gt;"",$L47&gt;$J47),
    "At Risk",
 IF(TODAY()&gt;$K47,
    "Delayed",
 "On Track")))))</f>
        <v>On Track</v>
      </c>
      <c r="Q47" s="80" t="s">
        <v>51</v>
      </c>
      <c r="BY47" s="38"/>
      <c r="BZ47" s="38"/>
      <c r="CA47" s="38"/>
      <c r="CB47" s="38"/>
      <c r="CC47" s="38"/>
      <c r="CD47" s="38"/>
      <c r="CE47" s="38"/>
    </row>
    <row r="48">
      <c r="A48" s="28" t="n">
        <v>41.0</v>
      </c>
      <c r="B48" s="29" t="s">
        <v>46</v>
      </c>
      <c r="C48" s="30" t="s">
        <v>119</v>
      </c>
      <c r="D48" s="31" t="s">
        <v>130</v>
      </c>
      <c r="E48" s="31" t="s">
        <v>133</v>
      </c>
      <c r="F48" s="32" t="s">
        <v>134</v>
      </c>
      <c r="G48" s="33" t="s">
        <v>51</v>
      </c>
      <c r="H48" s="34" t="n">
        <v>0.6</v>
      </c>
      <c r="I48" s="35" t="n">
        <v>46239.0</v>
      </c>
      <c r="J48" s="35" t="n">
        <v>46241.0</v>
      </c>
      <c r="K48" s="35"/>
      <c r="L48" s="35"/>
      <c r="M48" s="36" t="str">
        <f>IF(OR(ISBLANK(K48),ISBLANK(L48)),"",NETWORKDAYS(K48,L48)/5)</f>
        <v/>
      </c>
      <c r="N48" s="37"/>
      <c r="O48" s="33" t="str">
        <f>IF($N48&gt;=1,"Completed",
 IF($N48=0,"Not Started",
 "In Progress"))</f>
        <v>Not Started</v>
      </c>
      <c r="P48" s="33" t="str">
        <f>IF($N48&gt;=1,
    IF($M48&gt;$K48,"Delayed","On Track"),
 IF(TODAY()&lt;$J48,
    "On Track",
 IF(AND($N48=0,TODAY()&gt;$K48),
    "Delayed",
 IF(AND($L48&lt;&gt;"",$L48&gt;$J48),
    "At Risk",
 IF(TODAY()&gt;$K48,
    "Delayed",
 "On Track")))))</f>
        <v>On Track</v>
      </c>
      <c r="Q48" s="81" t="s">
        <v>51</v>
      </c>
      <c r="BY48" s="38"/>
      <c r="BZ48" s="38"/>
      <c r="CA48" s="38"/>
      <c r="CB48" s="38"/>
      <c r="CC48" s="38"/>
      <c r="CD48" s="38"/>
      <c r="CE48" s="38"/>
    </row>
    <row r="49">
      <c r="A49" s="28" t="n">
        <v>42.0</v>
      </c>
      <c r="B49" s="29" t="s">
        <v>46</v>
      </c>
      <c r="C49" s="30" t="s">
        <v>119</v>
      </c>
      <c r="D49" s="31" t="s">
        <v>130</v>
      </c>
      <c r="E49" s="31" t="s">
        <v>135</v>
      </c>
      <c r="F49" s="32" t="s">
        <v>110</v>
      </c>
      <c r="G49" s="33" t="s">
        <v>51</v>
      </c>
      <c r="H49" s="34" t="n">
        <v>0.6</v>
      </c>
      <c r="I49" s="35" t="n">
        <v>46239.0</v>
      </c>
      <c r="J49" s="35" t="n">
        <v>46241.0</v>
      </c>
      <c r="K49" s="35"/>
      <c r="L49" s="35"/>
      <c r="M49" s="36" t="str">
        <f>IF(OR(ISBLANK(K49),ISBLANK(L49)),"",NETWORKDAYS(K49,L49)/5)</f>
        <v/>
      </c>
      <c r="N49" s="37"/>
      <c r="O49" s="33" t="str">
        <f>IF($N49&gt;=1,"Completed",
 IF($N49=0,"Not Started",
 "In Progress"))</f>
        <v>Not Started</v>
      </c>
      <c r="P49" s="33" t="str">
        <f>IF($N49&gt;=1,
    IF($M49&gt;$K49,"Delayed","On Track"),
 IF(TODAY()&lt;$J49,
    "On Track",
 IF(AND($N49=0,TODAY()&gt;$K49),
    "Delayed",
 IF(AND($L49&lt;&gt;"",$L49&gt;$J49),
    "At Risk",
 IF(TODAY()&gt;$K49,
    "Delayed",
 "On Track")))))</f>
        <v>On Track</v>
      </c>
      <c r="Q49" s="82" t="s">
        <v>51</v>
      </c>
      <c r="BY49" s="38"/>
      <c r="BZ49" s="38"/>
      <c r="CA49" s="38"/>
      <c r="CB49" s="38"/>
      <c r="CC49" s="38"/>
      <c r="CD49" s="38"/>
      <c r="CE49" s="38"/>
    </row>
    <row r="50">
      <c r="A50" s="28" t="n">
        <v>43.0</v>
      </c>
      <c r="B50" s="29" t="s">
        <v>46</v>
      </c>
      <c r="C50" s="30" t="s">
        <v>119</v>
      </c>
      <c r="D50" s="31" t="s">
        <v>130</v>
      </c>
      <c r="E50" s="31" t="s">
        <v>136</v>
      </c>
      <c r="F50" s="32" t="s">
        <v>137</v>
      </c>
      <c r="G50" s="33" t="s">
        <v>51</v>
      </c>
      <c r="H50" s="34" t="n">
        <v>0.2</v>
      </c>
      <c r="I50" s="35" t="n">
        <v>46244.0</v>
      </c>
      <c r="J50" s="35" t="n">
        <v>46244.0</v>
      </c>
      <c r="K50" s="35"/>
      <c r="L50" s="35"/>
      <c r="M50" s="36" t="str">
        <f>IF(OR(ISBLANK(K50),ISBLANK(L50)),"",NETWORKDAYS(K50,L50)/5)</f>
        <v/>
      </c>
      <c r="N50" s="37"/>
      <c r="O50" s="33" t="str">
        <f>IF($N50&gt;=1,"Completed",
 IF($N50=0,"Not Started",
 "In Progress"))</f>
        <v>Not Started</v>
      </c>
      <c r="P50" s="33" t="str">
        <f>IF($N50&gt;=1,
    IF($M50&gt;$K50,"Delayed","On Track"),
 IF(TODAY()&lt;$J50,
    "On Track",
 IF(AND($N50=0,TODAY()&gt;$K50),
    "Delayed",
 IF(AND($L50&lt;&gt;"",$L50&gt;$J50),
    "At Risk",
 IF(TODAY()&gt;$K50,
    "Delayed",
 "On Track")))))</f>
        <v>On Track</v>
      </c>
      <c r="Q50" s="83" t="s">
        <v>51</v>
      </c>
      <c r="BY50" s="38"/>
      <c r="BZ50" s="38"/>
      <c r="CA50" s="38"/>
      <c r="CB50" s="38"/>
      <c r="CC50" s="38"/>
      <c r="CD50" s="38"/>
      <c r="CE50" s="38"/>
    </row>
    <row r="51">
      <c r="A51" s="28" t="n">
        <v>44.0</v>
      </c>
      <c r="B51" s="29" t="s">
        <v>46</v>
      </c>
      <c r="C51" s="30" t="s">
        <v>119</v>
      </c>
      <c r="D51" s="31" t="s">
        <v>138</v>
      </c>
      <c r="E51" s="31" t="s">
        <v>139</v>
      </c>
      <c r="F51" s="32" t="s">
        <v>140</v>
      </c>
      <c r="G51" s="33" t="s">
        <v>51</v>
      </c>
      <c r="H51" s="34" t="n">
        <v>0.4</v>
      </c>
      <c r="I51" s="35" t="n">
        <v>46244.0</v>
      </c>
      <c r="J51" s="35" t="n">
        <v>46245.0</v>
      </c>
      <c r="K51" s="35"/>
      <c r="L51" s="35"/>
      <c r="M51" s="36" t="str">
        <f>IF(OR(ISBLANK(K51),ISBLANK(L51)),"",NETWORKDAYS(K51,L51)/5)</f>
        <v/>
      </c>
      <c r="N51" s="37"/>
      <c r="O51" s="33" t="str">
        <f>IF($N51&gt;=1,"Completed",
 IF($N51=0,"Not Started",
 "In Progress"))</f>
        <v>Not Started</v>
      </c>
      <c r="P51" s="33" t="str">
        <f>IF($N51&gt;=1,
    IF($M51&gt;$K51,"Delayed","On Track"),
 IF(TODAY()&lt;$J51,
    "On Track",
 IF(AND($N51=0,TODAY()&gt;$K51),
    "Delayed",
 IF(AND($L51&lt;&gt;"",$L51&gt;$J51),
    "At Risk",
 IF(TODAY()&gt;$K51,
    "Delayed",
 "On Track")))))</f>
        <v>On Track</v>
      </c>
      <c r="Q51" s="84" t="s">
        <v>51</v>
      </c>
      <c r="BY51" s="38"/>
      <c r="BZ51" s="38"/>
      <c r="CA51" s="38"/>
      <c r="CB51" s="38"/>
      <c r="CC51" s="38"/>
      <c r="CD51" s="38"/>
      <c r="CE51" s="38"/>
    </row>
    <row r="52">
      <c r="A52" s="28" t="n">
        <v>45.0</v>
      </c>
      <c r="B52" s="29" t="s">
        <v>46</v>
      </c>
      <c r="C52" s="30" t="s">
        <v>119</v>
      </c>
      <c r="D52" s="31" t="s">
        <v>141</v>
      </c>
      <c r="E52" s="31" t="s">
        <v>142</v>
      </c>
      <c r="F52" s="32" t="s">
        <v>143</v>
      </c>
      <c r="G52" s="33" t="s">
        <v>51</v>
      </c>
      <c r="H52" s="34" t="n">
        <v>0.4</v>
      </c>
      <c r="I52" s="35" t="n">
        <v>46246.0</v>
      </c>
      <c r="J52" s="35" t="n">
        <v>46247.0</v>
      </c>
      <c r="K52" s="35"/>
      <c r="L52" s="35"/>
      <c r="M52" s="36" t="str">
        <f>IF(OR(ISBLANK(K52),ISBLANK(L52)),"",NETWORKDAYS(K52,L52)/5)</f>
        <v/>
      </c>
      <c r="N52" s="37"/>
      <c r="O52" s="33" t="str">
        <f>IF($N52&gt;=1,"Completed",
 IF($N52=0,"Not Started",
 "In Progress"))</f>
        <v>Not Started</v>
      </c>
      <c r="P52" s="33" t="str">
        <f>IF($N52&gt;=1,
    IF($M52&gt;$K52,"Delayed","On Track"),
 IF(TODAY()&lt;$J52,
    "On Track",
 IF(AND($N52=0,TODAY()&gt;$K52),
    "Delayed",
 IF(AND($L52&lt;&gt;"",$L52&gt;$J52),
    "At Risk",
 IF(TODAY()&gt;$K52,
    "Delayed",
 "On Track")))))</f>
        <v>On Track</v>
      </c>
      <c r="Q52" s="85" t="s">
        <v>51</v>
      </c>
      <c r="BY52" s="38"/>
      <c r="BZ52" s="38"/>
      <c r="CA52" s="38"/>
      <c r="CB52" s="38"/>
      <c r="CC52" s="38"/>
      <c r="CD52" s="38"/>
      <c r="CE52" s="38"/>
    </row>
    <row r="53">
      <c r="A53" s="28" t="n">
        <v>46.0</v>
      </c>
      <c r="B53" s="29" t="s">
        <v>46</v>
      </c>
      <c r="C53" s="30" t="s">
        <v>144</v>
      </c>
      <c r="D53" s="31" t="s">
        <v>145</v>
      </c>
      <c r="E53" s="31" t="s">
        <v>146</v>
      </c>
      <c r="F53" s="32" t="s">
        <v>147</v>
      </c>
      <c r="G53" s="33" t="s">
        <v>51</v>
      </c>
      <c r="H53" s="34" t="n">
        <v>3.0</v>
      </c>
      <c r="I53" s="35" t="n">
        <v>46225.0</v>
      </c>
      <c r="J53" s="35" t="n">
        <v>46245.0</v>
      </c>
      <c r="K53" s="35"/>
      <c r="L53" s="35"/>
      <c r="M53" s="36" t="str">
        <f>IF(OR(ISBLANK(K53),ISBLANK(L53)),"",NETWORKDAYS(K53,L53)/5)</f>
        <v/>
      </c>
      <c r="N53" s="37"/>
      <c r="O53" s="33" t="str">
        <f>IF($N53&gt;=1,"Completed",
 IF($N53=0,"Not Started",
 "In Progress"))</f>
        <v>Not Started</v>
      </c>
      <c r="P53" s="33" t="str">
        <f>IF($N53&gt;=1,
    IF($M53&gt;$K53,"Delayed","On Track"),
 IF(TODAY()&lt;$J53,
    "On Track",
 IF(AND($N53=0,TODAY()&gt;$K53),
    "Delayed",
 IF(AND($L53&lt;&gt;"",$L53&gt;$J53),
    "At Risk",
 IF(TODAY()&gt;$K53,
    "Delayed",
 "On Track")))))</f>
        <v>On Track</v>
      </c>
      <c r="Q53" s="86" t="s">
        <v>51</v>
      </c>
      <c r="BY53" s="38"/>
      <c r="BZ53" s="38"/>
      <c r="CA53" s="38"/>
      <c r="CB53" s="38"/>
      <c r="CC53" s="38"/>
      <c r="CD53" s="38"/>
      <c r="CE53" s="38"/>
    </row>
    <row r="54">
      <c r="A54" s="28" t="n">
        <v>47.0</v>
      </c>
      <c r="B54" s="29" t="s">
        <v>46</v>
      </c>
      <c r="C54" s="30" t="s">
        <v>144</v>
      </c>
      <c r="D54" s="31" t="s">
        <v>148</v>
      </c>
      <c r="E54" s="31" t="s">
        <v>149</v>
      </c>
      <c r="F54" s="32" t="s">
        <v>150</v>
      </c>
      <c r="G54" s="33" t="s">
        <v>51</v>
      </c>
      <c r="H54" s="34" t="n">
        <v>1.0</v>
      </c>
      <c r="I54" s="35" t="n">
        <v>46248.0</v>
      </c>
      <c r="J54" s="35" t="n">
        <v>46254.0</v>
      </c>
      <c r="K54" s="35"/>
      <c r="L54" s="35"/>
      <c r="M54" s="36" t="str">
        <f>IF(OR(ISBLANK(K54),ISBLANK(L54)),"",NETWORKDAYS(K54,L54)/5)</f>
        <v/>
      </c>
      <c r="N54" s="37"/>
      <c r="O54" s="33" t="str">
        <f>IF($N54&gt;=1,"Completed",
 IF($N54=0,"Not Started",
 "In Progress"))</f>
        <v>Not Started</v>
      </c>
      <c r="P54" s="33" t="str">
        <f>IF($N54&gt;=1,
    IF($M54&gt;$K54,"Delayed","On Track"),
 IF(TODAY()&lt;$J54,
    "On Track",
 IF(AND($N54=0,TODAY()&gt;$K54),
    "Delayed",
 IF(AND($L54&lt;&gt;"",$L54&gt;$J54),
    "At Risk",
 IF(TODAY()&gt;$K54,
    "Delayed",
 "On Track")))))</f>
        <v>On Track</v>
      </c>
      <c r="Q54" s="87" t="s">
        <v>51</v>
      </c>
      <c r="BY54" s="38"/>
      <c r="BZ54" s="38"/>
      <c r="CA54" s="38"/>
      <c r="CB54" s="38"/>
      <c r="CC54" s="38"/>
      <c r="CD54" s="38"/>
      <c r="CE54" s="38"/>
    </row>
    <row r="55">
      <c r="A55" s="28" t="n">
        <v>48.0</v>
      </c>
      <c r="B55" s="29" t="s">
        <v>46</v>
      </c>
      <c r="C55" s="30" t="s">
        <v>144</v>
      </c>
      <c r="D55" s="31" t="s">
        <v>148</v>
      </c>
      <c r="E55" s="31" t="s">
        <v>151</v>
      </c>
      <c r="F55" s="32" t="s">
        <v>104</v>
      </c>
      <c r="G55" s="33" t="s">
        <v>51</v>
      </c>
      <c r="H55" s="34" t="n">
        <v>2.0</v>
      </c>
      <c r="I55" s="35" t="n">
        <v>46248.0</v>
      </c>
      <c r="J55" s="35" t="n">
        <v>46261.0</v>
      </c>
      <c r="K55" s="35"/>
      <c r="L55" s="35"/>
      <c r="M55" s="36" t="str">
        <f>IF(OR(ISBLANK(K55),ISBLANK(L55)),"",NETWORKDAYS(K55,L55)/5)</f>
        <v/>
      </c>
      <c r="N55" s="37"/>
      <c r="O55" s="33" t="str">
        <f>IF($N55&gt;=1,"Completed",
 IF($N55=0,"Not Started",
 "In Progress"))</f>
        <v>Not Started</v>
      </c>
      <c r="P55" s="33" t="str">
        <f>IF($N55&gt;=1,
    IF($M55&gt;$K55,"Delayed","On Track"),
 IF(TODAY()&lt;$J55,
    "On Track",
 IF(AND($N55=0,TODAY()&gt;$K55),
    "Delayed",
 IF(AND($L55&lt;&gt;"",$L55&gt;$J55),
    "At Risk",
 IF(TODAY()&gt;$K55,
    "Delayed",
 "On Track")))))</f>
        <v>On Track</v>
      </c>
      <c r="Q55" s="88" t="s">
        <v>51</v>
      </c>
      <c r="BY55" s="38"/>
      <c r="BZ55" s="38"/>
      <c r="CA55" s="38"/>
      <c r="CB55" s="38"/>
      <c r="CC55" s="38"/>
      <c r="CD55" s="38"/>
      <c r="CE55" s="38"/>
    </row>
    <row r="56">
      <c r="A56" s="28" t="n">
        <v>49.0</v>
      </c>
      <c r="B56" s="29" t="s">
        <v>46</v>
      </c>
      <c r="C56" s="30" t="s">
        <v>144</v>
      </c>
      <c r="D56" s="31" t="s">
        <v>148</v>
      </c>
      <c r="E56" s="31" t="s">
        <v>152</v>
      </c>
      <c r="F56" s="32" t="s">
        <v>153</v>
      </c>
      <c r="G56" s="33" t="s">
        <v>51</v>
      </c>
      <c r="H56" s="34" t="n">
        <v>4.0</v>
      </c>
      <c r="I56" s="35" t="n">
        <v>46242.0</v>
      </c>
      <c r="J56" s="35" t="n">
        <v>46268.0</v>
      </c>
      <c r="K56" s="35"/>
      <c r="L56" s="35"/>
      <c r="M56" s="36" t="str">
        <f>IF(OR(ISBLANK(K56),ISBLANK(L56)),"",NETWORKDAYS(K56,L56)/5)</f>
        <v/>
      </c>
      <c r="N56" s="37"/>
      <c r="O56" s="33" t="str">
        <f>IF($N56&gt;=1,"Completed",
 IF($N56=0,"Not Started",
 "In Progress"))</f>
        <v>Not Started</v>
      </c>
      <c r="P56" s="33" t="str">
        <f>IF($N56&gt;=1,
    IF($M56&gt;$K56,"Delayed","On Track"),
 IF(TODAY()&lt;$J56,
    "On Track",
 IF(AND($N56=0,TODAY()&gt;$K56),
    "Delayed",
 IF(AND($L56&lt;&gt;"",$L56&gt;$J56),
    "At Risk",
 IF(TODAY()&gt;$K56,
    "Delayed",
 "On Track")))))</f>
        <v>On Track</v>
      </c>
      <c r="Q56" s="89" t="s">
        <v>51</v>
      </c>
      <c r="BY56" s="38"/>
      <c r="BZ56" s="38"/>
      <c r="CA56" s="38"/>
      <c r="CB56" s="38"/>
      <c r="CC56" s="38"/>
      <c r="CD56" s="38"/>
      <c r="CE56" s="38"/>
    </row>
    <row r="57">
      <c r="A57" s="28" t="n">
        <v>50.0</v>
      </c>
      <c r="B57" s="29" t="s">
        <v>46</v>
      </c>
      <c r="C57" s="30" t="s">
        <v>144</v>
      </c>
      <c r="D57" s="31" t="s">
        <v>148</v>
      </c>
      <c r="E57" s="31" t="s">
        <v>154</v>
      </c>
      <c r="F57" s="32" t="s">
        <v>106</v>
      </c>
      <c r="G57" s="33" t="s">
        <v>51</v>
      </c>
      <c r="H57" s="34" t="n">
        <v>1.0</v>
      </c>
      <c r="I57" s="35" t="n">
        <v>46242.0</v>
      </c>
      <c r="J57" s="35" t="n">
        <v>46247.0</v>
      </c>
      <c r="K57" s="35"/>
      <c r="L57" s="35"/>
      <c r="M57" s="36" t="str">
        <f>IF(OR(ISBLANK(K57),ISBLANK(L57)),"",NETWORKDAYS(K57,L57)/5)</f>
        <v/>
      </c>
      <c r="N57" s="37"/>
      <c r="O57" s="33" t="str">
        <f>IF($N57&gt;=1,"Completed",
 IF($N57=0,"Not Started",
 "In Progress"))</f>
        <v>Not Started</v>
      </c>
      <c r="P57" s="33" t="str">
        <f>IF($N57&gt;=1,
    IF($M57&gt;$K57,"Delayed","On Track"),
 IF(TODAY()&lt;$J57,
    "On Track",
 IF(AND($N57=0,TODAY()&gt;$K57),
    "Delayed",
 IF(AND($L57&lt;&gt;"",$L57&gt;$J57),
    "At Risk",
 IF(TODAY()&gt;$K57,
    "Delayed",
 "On Track")))))</f>
        <v>On Track</v>
      </c>
      <c r="Q57" s="90" t="s">
        <v>51</v>
      </c>
      <c r="BY57" s="38"/>
      <c r="BZ57" s="38"/>
      <c r="CA57" s="38"/>
      <c r="CB57" s="38"/>
      <c r="CC57" s="38"/>
      <c r="CD57" s="38"/>
      <c r="CE57" s="38"/>
    </row>
    <row r="58">
      <c r="A58" s="28" t="n">
        <v>51.0</v>
      </c>
      <c r="B58" s="29" t="s">
        <v>46</v>
      </c>
      <c r="C58" s="30" t="s">
        <v>144</v>
      </c>
      <c r="D58" s="31" t="s">
        <v>155</v>
      </c>
      <c r="E58" s="31" t="s">
        <v>156</v>
      </c>
      <c r="F58" s="32" t="s">
        <v>157</v>
      </c>
      <c r="G58" s="33" t="s">
        <v>51</v>
      </c>
      <c r="H58" s="34" t="n">
        <v>0.4</v>
      </c>
      <c r="I58" s="35" t="n">
        <v>46248.0</v>
      </c>
      <c r="J58" s="35" t="n">
        <v>46251.0</v>
      </c>
      <c r="K58" s="35"/>
      <c r="L58" s="35"/>
      <c r="M58" s="36" t="str">
        <f>IF(OR(ISBLANK(K58),ISBLANK(L58)),"",NETWORKDAYS(K58,L58)/5)</f>
        <v/>
      </c>
      <c r="N58" s="37"/>
      <c r="O58" s="33" t="str">
        <f>IF($N58&gt;=1,"Completed",
 IF($N58=0,"Not Started",
 "In Progress"))</f>
        <v>Not Started</v>
      </c>
      <c r="P58" s="33" t="str">
        <f>IF($N58&gt;=1,
    IF($M58&gt;$K58,"Delayed","On Track"),
 IF(TODAY()&lt;$J58,
    "On Track",
 IF(AND($N58=0,TODAY()&gt;$K58),
    "Delayed",
 IF(AND($L58&lt;&gt;"",$L58&gt;$J58),
    "At Risk",
 IF(TODAY()&gt;$K58,
    "Delayed",
 "On Track")))))</f>
        <v>On Track</v>
      </c>
      <c r="Q58" s="91" t="s">
        <v>51</v>
      </c>
      <c r="BY58" s="38"/>
      <c r="BZ58" s="38"/>
      <c r="CA58" s="38"/>
      <c r="CB58" s="38"/>
      <c r="CC58" s="38"/>
      <c r="CD58" s="38"/>
      <c r="CE58" s="38"/>
    </row>
    <row r="59" customFormat="false" ht="16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BW59" s="1"/>
      <c r="BX59" s="1"/>
      <c r="BY59" s="1"/>
      <c r="BZ59" s="1"/>
      <c r="CA59" s="1"/>
      <c r="CB59" s="1"/>
      <c r="CC59" s="1"/>
      <c r="CD59" s="1"/>
      <c r="CE59" s="1"/>
    </row>
    <row r="60" customFormat="false" ht="16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BW60" s="1"/>
      <c r="BX60" s="1"/>
      <c r="BY60" s="1"/>
      <c r="BZ60" s="1"/>
      <c r="CA60" s="1"/>
      <c r="CB60" s="1"/>
      <c r="CC60" s="1"/>
      <c r="CD60" s="1"/>
      <c r="CE60" s="1"/>
    </row>
    <row r="61" customFormat="false" ht="16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BW61" s="1"/>
      <c r="BX61" s="1"/>
      <c r="BY61" s="1"/>
      <c r="BZ61" s="1"/>
      <c r="CA61" s="1"/>
      <c r="CB61" s="1"/>
      <c r="CC61" s="1"/>
      <c r="CD61" s="1"/>
      <c r="CE61" s="1"/>
    </row>
    <row r="62" customFormat="false" ht="16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BW62" s="1"/>
      <c r="BX62" s="1"/>
      <c r="BY62" s="1"/>
      <c r="BZ62" s="1"/>
      <c r="CA62" s="1"/>
      <c r="CB62" s="1"/>
      <c r="CC62" s="1"/>
      <c r="CD62" s="1"/>
      <c r="CE62" s="1"/>
    </row>
    <row r="63" customFormat="false" ht="16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BW63" s="1"/>
      <c r="BX63" s="1"/>
      <c r="BY63" s="1"/>
      <c r="BZ63" s="1"/>
      <c r="CA63" s="1"/>
      <c r="CB63" s="1"/>
      <c r="CC63" s="1"/>
      <c r="CD63" s="1"/>
      <c r="CE63" s="1"/>
    </row>
    <row r="64" customFormat="false" ht="16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BW64" s="1"/>
      <c r="BX64" s="1"/>
      <c r="BY64" s="1"/>
      <c r="BZ64" s="1"/>
      <c r="CA64" s="1"/>
      <c r="CB64" s="1"/>
      <c r="CC64" s="1"/>
      <c r="CD64" s="1"/>
      <c r="CE64" s="1"/>
    </row>
    <row r="65" customFormat="false" ht="16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BW65" s="1"/>
      <c r="BX65" s="1"/>
      <c r="BY65" s="1"/>
      <c r="BZ65" s="1"/>
      <c r="CA65" s="1"/>
      <c r="CB65" s="1"/>
      <c r="CC65" s="1"/>
      <c r="CD65" s="1"/>
      <c r="CE65" s="1"/>
    </row>
    <row r="66" customFormat="false" ht="16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BW66" s="1"/>
      <c r="BX66" s="1"/>
      <c r="BY66" s="1"/>
      <c r="BZ66" s="1"/>
      <c r="CA66" s="1"/>
      <c r="CB66" s="1"/>
      <c r="CC66" s="1"/>
      <c r="CD66" s="1"/>
      <c r="CE66" s="1"/>
    </row>
    <row r="67" customFormat="false" ht="16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BW67" s="1"/>
      <c r="BX67" s="1"/>
      <c r="BY67" s="1"/>
      <c r="BZ67" s="1"/>
      <c r="CA67" s="1"/>
      <c r="CB67" s="1"/>
      <c r="CC67" s="1"/>
      <c r="CD67" s="1"/>
      <c r="CE67" s="1"/>
    </row>
    <row r="68" customFormat="false" ht="16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BW68" s="1"/>
      <c r="BX68" s="1"/>
      <c r="BY68" s="1"/>
      <c r="BZ68" s="1"/>
      <c r="CA68" s="1"/>
      <c r="CB68" s="1"/>
      <c r="CC68" s="1"/>
      <c r="CD68" s="1"/>
      <c r="CE68" s="1"/>
    </row>
    <row r="69" customFormat="false" ht="16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BW69" s="1"/>
      <c r="BX69" s="1"/>
      <c r="BY69" s="1"/>
      <c r="BZ69" s="1"/>
      <c r="CA69" s="1"/>
      <c r="CB69" s="1"/>
      <c r="CC69" s="1"/>
      <c r="CD69" s="1"/>
      <c r="CE69" s="1"/>
    </row>
    <row r="70" customFormat="false" ht="16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BW70" s="1"/>
      <c r="BX70" s="1"/>
      <c r="BY70" s="1"/>
      <c r="BZ70" s="1"/>
      <c r="CA70" s="1"/>
      <c r="CB70" s="1"/>
      <c r="CC70" s="1"/>
      <c r="CD70" s="1"/>
      <c r="CE70" s="1"/>
    </row>
    <row r="71" customFormat="false" ht="16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BW71" s="1"/>
      <c r="BX71" s="1"/>
      <c r="BY71" s="1"/>
      <c r="BZ71" s="1"/>
      <c r="CA71" s="1"/>
      <c r="CB71" s="1"/>
      <c r="CC71" s="1"/>
      <c r="CD71" s="1"/>
      <c r="CE71" s="1"/>
    </row>
    <row r="72" customFormat="false" ht="16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BW72" s="1"/>
      <c r="BX72" s="1"/>
      <c r="BY72" s="1"/>
      <c r="BZ72" s="1"/>
      <c r="CA72" s="1"/>
      <c r="CB72" s="1"/>
      <c r="CC72" s="1"/>
      <c r="CD72" s="1"/>
      <c r="CE72" s="1"/>
    </row>
    <row r="73" customFormat="false" ht="16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BW73" s="1"/>
      <c r="BX73" s="1"/>
      <c r="BY73" s="1"/>
      <c r="BZ73" s="1"/>
      <c r="CA73" s="1"/>
      <c r="CB73" s="1"/>
      <c r="CC73" s="1"/>
      <c r="CD73" s="1"/>
      <c r="CE73" s="1"/>
    </row>
    <row r="74" customFormat="false" ht="16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BW74" s="1"/>
      <c r="BX74" s="1"/>
      <c r="BY74" s="1"/>
      <c r="BZ74" s="1"/>
      <c r="CA74" s="1"/>
      <c r="CB74" s="1"/>
      <c r="CC74" s="1"/>
      <c r="CD74" s="1"/>
      <c r="CE74" s="1"/>
    </row>
    <row r="75" customFormat="false" ht="16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BW75" s="1"/>
      <c r="BX75" s="1"/>
      <c r="BY75" s="1"/>
      <c r="BZ75" s="1"/>
      <c r="CA75" s="1"/>
      <c r="CB75" s="1"/>
      <c r="CC75" s="1"/>
      <c r="CD75" s="1"/>
      <c r="CE75" s="1"/>
    </row>
    <row r="76" customFormat="false" ht="16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BW76" s="1"/>
      <c r="BX76" s="1"/>
      <c r="BY76" s="1"/>
      <c r="BZ76" s="1"/>
      <c r="CA76" s="1"/>
      <c r="CB76" s="1"/>
      <c r="CC76" s="1"/>
      <c r="CD76" s="1"/>
      <c r="CE76" s="1"/>
    </row>
    <row r="77" customFormat="false" ht="16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BW77" s="1"/>
      <c r="BX77" s="1"/>
      <c r="BY77" s="1"/>
      <c r="BZ77" s="1"/>
      <c r="CA77" s="1"/>
      <c r="CB77" s="1"/>
      <c r="CC77" s="1"/>
      <c r="CD77" s="1"/>
      <c r="CE77" s="1"/>
    </row>
    <row r="78" customFormat="false" ht="16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BW78" s="1"/>
      <c r="BX78" s="1"/>
      <c r="BY78" s="1"/>
      <c r="BZ78" s="1"/>
      <c r="CA78" s="1"/>
      <c r="CB78" s="1"/>
      <c r="CC78" s="1"/>
      <c r="CD78" s="1"/>
      <c r="CE78" s="1"/>
    </row>
    <row r="79" customFormat="false" ht="16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BW79" s="1"/>
      <c r="BX79" s="1"/>
      <c r="BY79" s="1"/>
      <c r="BZ79" s="1"/>
      <c r="CA79" s="1"/>
      <c r="CB79" s="1"/>
      <c r="CC79" s="1"/>
      <c r="CD79" s="1"/>
      <c r="CE79" s="1"/>
    </row>
    <row r="80" customFormat="false" ht="16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BW80" s="1"/>
      <c r="BX80" s="1"/>
      <c r="BY80" s="1"/>
      <c r="BZ80" s="1"/>
      <c r="CA80" s="1"/>
      <c r="CB80" s="1"/>
      <c r="CC80" s="1"/>
      <c r="CD80" s="1"/>
      <c r="CE80" s="1"/>
    </row>
    <row r="81" customFormat="false" ht="16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BW81" s="1"/>
      <c r="BX81" s="1"/>
      <c r="BY81" s="1"/>
      <c r="BZ81" s="1"/>
      <c r="CA81" s="1"/>
      <c r="CB81" s="1"/>
      <c r="CC81" s="1"/>
      <c r="CD81" s="1"/>
      <c r="CE81" s="1"/>
    </row>
    <row r="82" customFormat="false" ht="16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BW82" s="1"/>
      <c r="BX82" s="1"/>
      <c r="BY82" s="1"/>
      <c r="BZ82" s="1"/>
      <c r="CA82" s="1"/>
      <c r="CB82" s="1"/>
      <c r="CC82" s="1"/>
      <c r="CD82" s="1"/>
      <c r="CE82" s="1"/>
    </row>
    <row r="83" customFormat="false" ht="16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BW83" s="1"/>
      <c r="BX83" s="1"/>
      <c r="BY83" s="1"/>
      <c r="BZ83" s="1"/>
      <c r="CA83" s="1"/>
      <c r="CB83" s="1"/>
      <c r="CC83" s="1"/>
      <c r="CD83" s="1"/>
      <c r="CE83" s="1"/>
    </row>
    <row r="84" customFormat="false" ht="16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BW84" s="1"/>
      <c r="BX84" s="1"/>
      <c r="BY84" s="1"/>
      <c r="BZ84" s="1"/>
      <c r="CA84" s="1"/>
      <c r="CB84" s="1"/>
      <c r="CC84" s="1"/>
      <c r="CD84" s="1"/>
      <c r="CE84" s="1"/>
    </row>
    <row r="85" customFormat="false" ht="16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BW85" s="1"/>
      <c r="BX85" s="1"/>
      <c r="BY85" s="1"/>
      <c r="BZ85" s="1"/>
      <c r="CA85" s="1"/>
      <c r="CB85" s="1"/>
      <c r="CC85" s="1"/>
      <c r="CD85" s="1"/>
      <c r="CE85" s="1"/>
    </row>
    <row r="86" customFormat="false" ht="16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BW86" s="1"/>
      <c r="BX86" s="1"/>
      <c r="BY86" s="1"/>
      <c r="BZ86" s="1"/>
      <c r="CA86" s="1"/>
      <c r="CB86" s="1"/>
      <c r="CC86" s="1"/>
      <c r="CD86" s="1"/>
      <c r="CE86" s="1"/>
    </row>
    <row r="87" customFormat="false" ht="16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BW87" s="1"/>
      <c r="BX87" s="1"/>
      <c r="BY87" s="1"/>
      <c r="BZ87" s="1"/>
      <c r="CA87" s="1"/>
      <c r="CB87" s="1"/>
      <c r="CC87" s="1"/>
      <c r="CD87" s="1"/>
      <c r="CE87" s="1"/>
    </row>
    <row r="88" customFormat="false" ht="16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BW88" s="1"/>
      <c r="BX88" s="1"/>
      <c r="BY88" s="1"/>
      <c r="BZ88" s="1"/>
      <c r="CA88" s="1"/>
      <c r="CB88" s="1"/>
      <c r="CC88" s="1"/>
      <c r="CD88" s="1"/>
      <c r="CE88" s="1"/>
    </row>
    <row r="89" customFormat="false" ht="16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BW89" s="1"/>
      <c r="BX89" s="1"/>
      <c r="BY89" s="1"/>
      <c r="BZ89" s="1"/>
      <c r="CA89" s="1"/>
      <c r="CB89" s="1"/>
      <c r="CC89" s="1"/>
      <c r="CD89" s="1"/>
      <c r="CE89" s="1"/>
    </row>
    <row r="90" customFormat="false" ht="16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BW90" s="1"/>
      <c r="BX90" s="1"/>
      <c r="BY90" s="1"/>
      <c r="BZ90" s="1"/>
      <c r="CA90" s="1"/>
      <c r="CB90" s="1"/>
      <c r="CC90" s="1"/>
      <c r="CD90" s="1"/>
      <c r="CE90" s="1"/>
    </row>
    <row r="91" customFormat="false" ht="16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BW91" s="1"/>
      <c r="BX91" s="1"/>
      <c r="BY91" s="1"/>
      <c r="BZ91" s="1"/>
      <c r="CA91" s="1"/>
      <c r="CB91" s="1"/>
      <c r="CC91" s="1"/>
      <c r="CD91" s="1"/>
      <c r="CE91" s="1"/>
    </row>
    <row r="92" customFormat="false" ht="16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BW92" s="1"/>
      <c r="BX92" s="1"/>
      <c r="BY92" s="1"/>
      <c r="BZ92" s="1"/>
      <c r="CA92" s="1"/>
      <c r="CB92" s="1"/>
      <c r="CC92" s="1"/>
      <c r="CD92" s="1"/>
      <c r="CE92" s="1"/>
    </row>
    <row r="93" customFormat="false" ht="16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BW93" s="1"/>
      <c r="BX93" s="1"/>
      <c r="BY93" s="1"/>
      <c r="BZ93" s="1"/>
      <c r="CA93" s="1"/>
      <c r="CB93" s="1"/>
      <c r="CC93" s="1"/>
      <c r="CD93" s="1"/>
      <c r="CE93" s="1"/>
    </row>
    <row r="94" customFormat="false" ht="16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BW94" s="1"/>
      <c r="BX94" s="1"/>
      <c r="BY94" s="1"/>
      <c r="BZ94" s="1"/>
      <c r="CA94" s="1"/>
      <c r="CB94" s="1"/>
      <c r="CC94" s="1"/>
      <c r="CD94" s="1"/>
      <c r="CE94" s="1"/>
    </row>
    <row r="95" customFormat="false" ht="16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BW95" s="1"/>
      <c r="BX95" s="1"/>
      <c r="BY95" s="1"/>
      <c r="BZ95" s="1"/>
      <c r="CA95" s="1"/>
      <c r="CB95" s="1"/>
      <c r="CC95" s="1"/>
      <c r="CD95" s="1"/>
      <c r="CE95" s="1"/>
    </row>
    <row r="96" customFormat="false" ht="16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BW96" s="1"/>
      <c r="BX96" s="1"/>
      <c r="BY96" s="1"/>
      <c r="BZ96" s="1"/>
      <c r="CA96" s="1"/>
      <c r="CB96" s="1"/>
      <c r="CC96" s="1"/>
      <c r="CD96" s="1"/>
      <c r="CE96" s="1"/>
    </row>
    <row r="97" customFormat="false" ht="16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BW97" s="1"/>
      <c r="BX97" s="1"/>
      <c r="BY97" s="1"/>
      <c r="BZ97" s="1"/>
      <c r="CA97" s="1"/>
      <c r="CB97" s="1"/>
      <c r="CC97" s="1"/>
      <c r="CD97" s="1"/>
      <c r="CE97" s="1"/>
    </row>
    <row r="98" customFormat="false" ht="16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BW98" s="1"/>
      <c r="BX98" s="1"/>
      <c r="BY98" s="1"/>
      <c r="BZ98" s="1"/>
      <c r="CA98" s="1"/>
      <c r="CB98" s="1"/>
      <c r="CC98" s="1"/>
      <c r="CD98" s="1"/>
      <c r="CE98" s="1"/>
    </row>
    <row r="99" customFormat="false" ht="16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BW99" s="1"/>
      <c r="BX99" s="1"/>
      <c r="BY99" s="1"/>
      <c r="BZ99" s="1"/>
      <c r="CA99" s="1"/>
      <c r="CB99" s="1"/>
      <c r="CC99" s="1"/>
      <c r="CD99" s="1"/>
      <c r="CE99" s="1"/>
    </row>
    <row r="100" customFormat="false" ht="16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customFormat="false" ht="16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customFormat="false" ht="16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customFormat="false" ht="16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customFormat="false" ht="16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customFormat="false" ht="16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BW105" s="1"/>
      <c r="BX105" s="1"/>
      <c r="BY105" s="1"/>
      <c r="BZ105" s="1"/>
      <c r="CA105" s="1"/>
      <c r="CB105" s="1"/>
      <c r="CC105" s="1"/>
      <c r="CD105" s="1"/>
      <c r="CE105" s="1"/>
    </row>
  </sheetData>
  <mergeCells count="25">
    <mergeCell ref="A1:P1"/>
    <mergeCell ref="A2:C2"/>
    <mergeCell ref="D2:P2"/>
    <mergeCell ref="A3:C3"/>
    <mergeCell ref="D3:P3"/>
    <mergeCell ref="A4:C4"/>
    <mergeCell ref="D4:P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BY8:CE8"/>
  </mergeCells>
  <conditionalFormatting sqref="P8:Q5000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:F5000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:O5000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C8:C5000">
    <cfRule type="expression" priority="11" aboveAverage="0" equalAverage="0" bottom="0" percent="0" rank="0" text="" dxfId="9">
      <formula>AND($B8&lt;&gt;"", COUNTIFS($B$8:$B$200,$B8,$O$8:$O$200,"Delayed")=0, COUNTIFS($B$8:$B$200,$B8,$O$8:$O$200,"At Risk")&gt;0)</formula>
    </cfRule>
    <cfRule type="expression" priority="12" aboveAverage="0" equalAverage="0" bottom="0" percent="0" rank="0" text="" dxfId="10">
      <formula>AND($B8&lt;&gt;"", COUNTIFS($B$8:$B$200,$B8,$O$8:$O$200,"Delayed")&gt;0)</formula>
    </cfRule>
    <cfRule type="expression" priority="13" aboveAverage="0" equalAverage="0" bottom="0" percent="0" rank="0" text="" dxfId="11">
      <formula>AND($B8&lt;&gt;"", COUNTIFS($B$8:$B$200,$B8,$O$8:$O$200,"Delayed")=0, COUNTIFS($B$8:$B$200,$B8,$O$8:$O$200,"At Risk")=0, COUNTIFS($B$8:$B$200,$B8,$O$8:$O$200,"In Progress")&gt;0)</formula>
    </cfRule>
    <cfRule type="expression" priority="14" aboveAverage="0" equalAverage="0" bottom="0" percent="0" rank="0" text="" dxfId="12">
      <formula>AND($B8&lt;&gt;"",COUNTIFS($B$8:$B$200,$B8,$O$8:$O$200,"&lt;&gt;Completed")=0)</formula>
    </cfRule>
  </conditionalFormatting>
  <conditionalFormatting sqref="D8:D5000">
    <cfRule type="expression" priority="15" aboveAverage="0" equalAverage="0" bottom="0" percent="0" rank="0" text="" dxfId="13">
      <formula>AND($D8&lt;&gt;"", COUNTIFS($D$8:$D$200,$D8,$O$8:$O$200,"Delayed")=0, COUNTIFS($D$8:$D$200,$D8,$O$8:$O$200,"At Risk")&gt;0)</formula>
    </cfRule>
    <cfRule type="expression" priority="16" aboveAverage="0" equalAverage="0" bottom="0" percent="0" rank="0" text="" dxfId="14">
      <formula>AND($D8&lt;&gt;"",COUNTIFS($D$8:$D$200,$D8,$O$8:$O$200,"Delayed")&gt;0)</formula>
    </cfRule>
    <cfRule type="expression" priority="17" aboveAverage="0" equalAverage="0" bottom="0" percent="0" rank="0" text="" dxfId="15">
      <formula>AND($D8&lt;&gt;"", COUNTIFS($D$8:$D$200,$D8,$O$8:$O$200,"Delayed")=0, COUNTIFS($D$8:$D$200,$D8,$O$8:$O$200,"In Progress")&gt;0)</formula>
    </cfRule>
    <cfRule type="expression" priority="18" aboveAverage="0" equalAverage="0" bottom="0" percent="0" rank="0" text="" dxfId="16">
      <formula>AND($D8&lt;&gt;"",COUNTIFS($D$8:$D$200,$D8,$O$8:$O$200,"&lt;&gt;Completed")=0)</formula>
    </cfRule>
  </conditionalFormatting>
  <conditionalFormatting sqref="E8:E5000">
    <cfRule type="expression" priority="19" aboveAverage="0" equalAverage="0" bottom="0" percent="0" rank="0" text="" dxfId="17">
      <formula>AND($E8&lt;&gt;"",COUNTIFS($E$8:$E$200,$E8,$O$8:$O$200,"At Risk")&gt;0)</formula>
    </cfRule>
    <cfRule type="expression" priority="20" aboveAverage="0" equalAverage="0" bottom="0" percent="0" rank="0" text="" dxfId="18">
      <formula>AND($E8&lt;&gt;"",COUNTIFS($E$8:$E$200,$E8,$O$8:$O$200,"Delayed")&gt;0)</formula>
    </cfRule>
    <cfRule type="expression" priority="21" aboveAverage="0" equalAverage="0" bottom="0" percent="0" rank="0" text="" dxfId="19">
      <formula>AND($E8&lt;&gt;"", COUNTIFS($E$8:$E$200,$E8,$O$8:$O$200,"In Progress")&gt;0, COUNTIFS($E$8:$E$200,$E8,$O$8:$O$200,"Completed")&lt;COUNTIFS($E$8:$E$200,$E8,$F$8:$F$200,"&lt;&gt;"))</formula>
    </cfRule>
    <cfRule type="expression" priority="22" aboveAverage="0" equalAverage="0" bottom="0" percent="0" rank="0" text="" dxfId="20">
      <formula>AND($E8&lt;&gt;"",COUNTIFS($E$8:$E$200,$E8,$O$8:$O$200,"&lt;&gt;Completed")=0)</formula>
    </cfRule>
  </conditionalFormatting>
  <conditionalFormatting sqref="N8:N5000">
    <cfRule type="dataBar" priority="23">
      <dataBar showValue="1" minLength="10" maxLength="90">
        <cfvo type="min" val="0"/>
        <cfvo type="max" val="0"/>
        <color rgb="FF4E95D9"/>
      </dataBar>
      <extLst>
        <ext uri="{B025F937-C7B1-47D3-B67F-A62EFF666E3E}">
          <x14:id>{C346C525-416B-4A80-935B-9E7494A0F5A0}</x14:id>
        </ext>
      </extLst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extLst>
    <ext uri="{78C0D931-6437-407d-A8EE-F0AAD7539E65}">
      <x14:conditionalFormattings>
        <x14:conditionalFormatting xmlns:xm="http://schemas.microsoft.com/office/excel/2006/main">
          <x14:cfRule type="dataBar" id="{C346C525-416B-4A80-935B-9E7494A0F5A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N8:N5000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00390625" defaultRowHeight="14.25" customHeight="true" zeroHeight="false" outlineLevelRow="0" outlineLevelCol="0"/>
  <cols>
    <col min="5" max="5" customWidth="true" hidden="false" style="1" width="23.76" collapsed="false" outlineLevel="0"/>
    <col min="6" max="6" customWidth="true" hidden="false" style="1" width="24.5" collapsed="false" outlineLevel="0"/>
  </cols>
  <sheetData>
    <row r="3" customFormat="false" ht="14.25" hidden="false" customHeight="false" outlineLevel="0" collapsed="false">
      <c r="D3" s="1" t="s">
        <v>31</v>
      </c>
      <c r="E3" s="1" t="s">
        <v>32</v>
      </c>
    </row>
    <row r="5" customFormat="false" ht="14.25" hidden="false" customHeight="false" outlineLevel="0" collapsed="false">
      <c r="D5" s="39"/>
      <c r="E5" s="40" t="s">
        <v>33</v>
      </c>
      <c r="F5" s="40" t="s">
        <v>34</v>
      </c>
    </row>
    <row r="6" customFormat="false" ht="14.25" hidden="false" customHeight="false" outlineLevel="0" collapsed="false">
      <c r="D6" s="39"/>
      <c r="E6" s="40" t="s">
        <v>35</v>
      </c>
      <c r="F6" s="40" t="s">
        <v>36</v>
      </c>
    </row>
    <row r="7" customFormat="false" ht="14.25" hidden="false" customHeight="false" outlineLevel="0" collapsed="false">
      <c r="D7" s="39"/>
      <c r="E7" s="40" t="s">
        <v>37</v>
      </c>
      <c r="F7" s="40" t="s">
        <v>38</v>
      </c>
    </row>
    <row r="8" customFormat="false" ht="14.25" hidden="false" customHeight="false" outlineLevel="0" collapsed="false">
      <c r="D8" s="39"/>
      <c r="E8" s="40" t="s">
        <v>39</v>
      </c>
      <c r="F8" s="40" t="s">
        <v>36</v>
      </c>
    </row>
    <row r="9" customFormat="false" ht="14.25" hidden="false" customHeight="false" outlineLevel="0" collapsed="false">
      <c r="D9" s="39"/>
      <c r="E9" s="40" t="s">
        <v>40</v>
      </c>
      <c r="F9" s="40" t="s">
        <v>38</v>
      </c>
    </row>
    <row r="10" customFormat="false" ht="14.25" hidden="false" customHeight="false" outlineLevel="0" collapsed="false">
      <c r="D10" s="39"/>
      <c r="E10" s="40" t="s">
        <v>41</v>
      </c>
      <c r="F10" s="40" t="s">
        <v>36</v>
      </c>
    </row>
    <row r="11" customFormat="false" ht="14.25" hidden="false" customHeight="false" outlineLevel="0" collapsed="false">
      <c r="D11" s="39"/>
      <c r="E11" s="40" t="s">
        <v>42</v>
      </c>
      <c r="F11" s="4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239A0-E68C-493F-BEE6-C77FEA397FD6}"/>
</file>

<file path=customXml/itemProps2.xml><?xml version="1.0" encoding="utf-8"?>
<ds:datastoreItem xmlns:ds="http://schemas.openxmlformats.org/officeDocument/2006/customXml" ds:itemID="{C2348D59-3426-404A-A0C5-6456F6613EDB}"/>
</file>

<file path=customXml/itemProps3.xml><?xml version="1.0" encoding="utf-8"?>
<ds:datastoreItem xmlns:ds="http://schemas.openxmlformats.org/officeDocument/2006/customXml" ds:itemID="{97245281-08F3-4104-84BD-39F3D8CFB195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48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2026-04-16T07:39:30Z</dcterms:created>
  <dc:language>en-IN</dc:language>
  <dcterms:modified xsi:type="dcterms:W3CDTF">2026-07-13T17:41:57Z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