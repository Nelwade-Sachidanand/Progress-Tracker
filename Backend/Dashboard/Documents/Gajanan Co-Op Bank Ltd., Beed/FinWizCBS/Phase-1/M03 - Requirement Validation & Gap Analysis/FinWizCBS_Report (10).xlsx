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Wiz_Project_Schedule" sheetId="1" state="visible" r:id="rId3"/>
  </sheets>
  <definedNames>
    <definedName function="false" hidden="false" localSheetId="0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FinWiz_Project_Schedule!$Z$3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FinWiz_Project_Schedule!$Z$2</definedName>
    <definedName function="false" hidden="false" localSheetId="0" name="task_end" vbProcedure="false">FinWiz_Project_Schedule!$L1</definedName>
    <definedName function="false" hidden="false" localSheetId="0" name="task_progress" vbProcedure="false">FinWiz_Project_Schedule!$E1</definedName>
    <definedName function="false" hidden="false" localSheetId="0" name="task_start" vbProcedure="false">FinWiz_Project_Schedule!$K1</definedName>
    <definedName function="false" hidden="false" localSheetId="0" name="today" vbProcedure="false">TODAY()</definedName>
  </definedName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Pranav Kashikar</author>
  </authors>
  <commentList>
    <comment ref="H5" authorId="0">
      <text>
        <r>
          <rPr>
            <sz val="10"/>
            <rFont val="Arial"/>
            <family val="2"/>
          </rPr>
          <t xml:space="preserve">Pranav Kashikar:
</t>
        </r>
        <r>
          <rPr>
            <sz val="9"/>
            <color rgb="FF000000"/>
            <rFont val="Tahoma"/>
            <family val="0"/>
            <charset val="1"/>
          </rPr>
          <t xml:space="preserve">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<sst xmlns="http://schemas.openxmlformats.org/spreadsheetml/2006/main" count="208" uniqueCount="81">
  <si>
    <t xml:space="preserve">Novillex Technologies Private Ltd.</t>
  </si>
  <si>
    <t xml:space="preserve">Name of Bank:</t>
  </si>
  <si>
    <t xml:space="preserve">Shri Chhatrapati Rajarshi Shahu Urban Co-Op Bank Ltd., Beed</t>
  </si>
  <si>
    <t xml:space="preserve">Project Start Date</t>
  </si>
  <si>
    <t xml:space="preserve">Name of Project:</t>
  </si>
  <si>
    <t xml:space="preserve">FinWiz CBS</t>
  </si>
  <si>
    <t xml:space="preserve">Display week:</t>
  </si>
  <si>
    <t xml:space="preserve">Project Manager:</t>
  </si>
  <si>
    <t xml:space="preserve">Pranav Kashikar</t>
  </si>
  <si>
    <t xml:space="preserve">Sr. No.</t>
  </si>
  <si>
    <t xml:space="preserve">Phase</t>
  </si>
  <si>
    <t xml:space="preserve">Milestone</t>
  </si>
  <si>
    <t xml:space="preserve">Task</t>
  </si>
  <si>
    <t xml:space="preserve">Sub-Task</t>
  </si>
  <si>
    <t xml:space="preserve">Activity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</si>
  <si>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</si>
  <si>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</si>
  <si>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</si>
  <si>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</si>
  <si>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</si>
  <si>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</si>
  <si>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</si>
  <si>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</si>
  <si>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</si>
  <si>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</si>
  <si>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Phase-1</t>
  </si>
  <si>
    <t xml:space="preserve">M01 - Project Initiation &amp; Governance</t>
  </si>
  <si>
    <t xml:space="preserve">Project Kickoff</t>
  </si>
  <si>
    <t xml:space="preserve">Kickoff Meeting</t>
  </si>
  <si>
    <t xml:space="preserve">Introduce stakeholders</t>
  </si>
  <si>
    <t>Gajanan Co-Op Bank Ltd., Beed</t>
  </si>
  <si>
    <t>FinWizCBS</t>
  </si>
  <si>
    <t>Pranav Kashikar</t>
  </si>
  <si>
    <t>Phase-1</t>
  </si>
  <si>
    <t>M01 - Project Initiation &amp; Governance</t>
  </si>
  <si>
    <t>Project Kickoff</t>
  </si>
  <si>
    <t>Kickoff Meeting</t>
  </si>
  <si>
    <t>Introduce stakeholders</t>
  </si>
  <si>
    <t/>
  </si>
  <si>
    <t>Define scope objectives success criteria</t>
  </si>
  <si>
    <t>Identify stakeholders Business IT Ops Finance</t>
  </si>
  <si>
    <t>Governance Setup</t>
  </si>
  <si>
    <t>Governance Model</t>
  </si>
  <si>
    <t>Steering committee formation</t>
  </si>
  <si>
    <t>Define escalation matrix</t>
  </si>
  <si>
    <t>Define approval hierarchy</t>
  </si>
  <si>
    <t>Project Planning</t>
  </si>
  <si>
    <t>Implementation Planning</t>
  </si>
  <si>
    <t>Define timelines milestones</t>
  </si>
  <si>
    <t>Resource allocation Bank Vendor</t>
  </si>
  <si>
    <t>Risk identification</t>
  </si>
  <si>
    <t>Communication Setup</t>
  </si>
  <si>
    <t>Reporting Framework</t>
  </si>
  <si>
    <t>Define reporting cadence</t>
  </si>
  <si>
    <t>Setup status templates</t>
  </si>
  <si>
    <t>Define escalation reporting</t>
  </si>
  <si>
    <t>M02 - Data Migration – Iteration 1</t>
  </si>
  <si>
    <t>Data Understanding</t>
  </si>
  <si>
    <t>Source Analysis</t>
  </si>
  <si>
    <t>Study legacy CBS</t>
  </si>
  <si>
    <t>Identify data sources</t>
  </si>
  <si>
    <t>History Data Migration</t>
  </si>
  <si>
    <t>Data Mapping</t>
  </si>
  <si>
    <t>Mapping Definition</t>
  </si>
  <si>
    <t>Map legacy to CBS fields</t>
  </si>
  <si>
    <t>Define transformation logic</t>
  </si>
  <si>
    <t>Data Cleansing</t>
  </si>
  <si>
    <t>Data Quality</t>
  </si>
  <si>
    <t>Remove duplicates</t>
  </si>
  <si>
    <t>Correct inconsistencies</t>
  </si>
  <si>
    <t>Migration Execution</t>
  </si>
  <si>
    <t>Trial Migration</t>
  </si>
  <si>
    <t>Load customer data</t>
  </si>
  <si>
    <t>Load account data</t>
  </si>
  <si>
    <t>Load Transaction data</t>
  </si>
  <si>
    <t>Validation &amp; Reconciliation</t>
  </si>
  <si>
    <t>Data Validation</t>
  </si>
  <si>
    <t>Migrated Data Validation*</t>
  </si>
  <si>
    <t>Financial Validation</t>
  </si>
  <si>
    <t>Financial Report Validation*</t>
  </si>
  <si>
    <t>Exception identification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</si>
</sst>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;@"/>
    <numFmt numFmtId="166" formatCode="ddd&quot;, &quot;m/d/yyyy"/>
    <numFmt numFmtId="167" formatCode="[$-809]dd\ mmmm\ yyyy;@"/>
    <numFmt numFmtId="168" formatCode="d"/>
    <numFmt numFmtId="169" formatCode="[$-409]d/mmm/yy;@"/>
    <numFmt numFmtId="170" formatCode="0.0"/>
    <numFmt numFmtId="171" formatCode="0%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  <fill>
      <patternFill patternType="solid">
        <fgColor theme="9" tint="0.5999"/>
        <bgColor rgb="FFA6CAEC"/>
      </patternFill>
    </fill>
    <fill>
      <patternFill patternType="solid">
        <fgColor theme="6" tint="0.5999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3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4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roject Start" xfId="22"/>
    <cellStyle name="Task" xfId="23"/>
    <cellStyle name="zHiddenText" xfId="24"/>
    <cellStyle name="Excel Built-in Heading 3" xfId="25"/>
  </cellStyles>
  <dxfs count="24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border diagonalUp="false" diagonalDown="false">
        <left style="thin">
          <color theme="5"/>
        </left>
        <right style="thin">
          <color theme="5"/>
        </right>
        <top/>
        <bottom/>
        <diagonal/>
      </border>
    </dxf>
    <dxf>
      <fill>
        <patternFill>
          <bgColor theme="3" tint="0.7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theme="3" tint="0.2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00A6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BA0F2"/>
      <rgbColor rgb="FF993366"/>
      <rgbColor rgb="FFF2F2F2"/>
      <rgbColor rgb="FFBDFCFF"/>
      <rgbColor rgb="FF660066"/>
      <rgbColor rgb="FFFF8264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AD7"/>
      <rgbColor rgb="FFFFEE7D"/>
      <rgbColor rgb="FFA6CAEC"/>
      <rgbColor rgb="FFFF99CC"/>
      <rgbColor rgb="FF9CC0F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48576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9" activeCellId="0" sqref="A9"/>
    </sheetView>
  </sheetViews>
  <sheetFormatPr defaultColWidth="8.625" defaultRowHeight="15.75" customHeight="true" zeroHeight="false" outlineLevelRow="0" outlineLevelCol="0"/>
  <cols>
    <col min="1" max="1" customWidth="true" hidden="false" style="1" width="5.12" collapsed="false" outlineLevel="0"/>
    <col min="2" max="2" customWidth="true" hidden="false" style="2" width="10.0" collapsed="false" outlineLevel="0"/>
    <col min="3" max="3" customWidth="true" hidden="false" style="3" width="41.62" collapsed="false" outlineLevel="0"/>
    <col min="4" max="4" customWidth="true" hidden="false" style="4" width="22.5" collapsed="false" outlineLevel="0"/>
    <col min="5" max="5" customWidth="true" hidden="false" style="4" width="22.0" collapsed="false" outlineLevel="0"/>
    <col min="6" max="6" customWidth="true" hidden="false" style="5" width="37.38" collapsed="false" outlineLevel="0"/>
    <col min="7" max="7" customWidth="true" hidden="true" style="5" width="9.87" collapsed="false" outlineLevel="0"/>
    <col min="8" max="13" customWidth="true" hidden="false" style="6" width="11.62" collapsed="false" outlineLevel="0"/>
    <col min="14" max="14" customWidth="true" hidden="false" style="5" width="9.5" collapsed="false" outlineLevel="0"/>
    <col min="15" max="16" customWidth="true" hidden="false" style="5" width="10.26" collapsed="false" outlineLevel="0"/>
    <col min="17" max="17" customWidth="true" hidden="false" style="5" width="2.62" collapsed="false" outlineLevel="0"/>
    <col min="18" max="73" customWidth="true" hidden="false" style="5" width="3.38" collapsed="false" outlineLevel="0"/>
    <col min="74" max="74" customWidth="true" hidden="false" style="5" width="2.62" collapsed="false" outlineLevel="0"/>
    <col min="75" max="16384" customWidth="false" hidden="false" style="5" width="8.62" collapsed="false" outlineLevel="0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.75" hidden="false" customHeight="true" outlineLevel="0" collapsed="false">
      <c r="A2" s="8" t="s">
        <v>1</v>
      </c>
      <c r="B2" s="8"/>
      <c r="C2" s="8"/>
      <c r="D2" s="9" t="s">
        <v>30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R2" s="10" t="s">
        <v>3</v>
      </c>
      <c r="S2" s="10"/>
      <c r="T2" s="10"/>
      <c r="U2" s="10"/>
      <c r="V2" s="10"/>
      <c r="W2" s="10"/>
      <c r="X2" s="10"/>
      <c r="Y2" s="10"/>
      <c r="Z2" s="11" t="n">
        <v>46184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 customFormat="false" ht="15.75" hidden="false" customHeight="true" outlineLevel="0" collapsed="false">
      <c r="A3" s="8" t="s">
        <v>4</v>
      </c>
      <c r="B3" s="8"/>
      <c r="C3" s="8"/>
      <c r="D3" s="9" t="s">
        <v>31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6</v>
      </c>
      <c r="S3" s="10"/>
      <c r="T3" s="10"/>
      <c r="U3" s="10"/>
      <c r="V3" s="10"/>
      <c r="W3" s="10"/>
      <c r="X3" s="10"/>
      <c r="Y3" s="10"/>
      <c r="Z3" s="12" t="n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customFormat="false" ht="15.75" hidden="false" customHeight="true" outlineLevel="0" collapsed="false">
      <c r="A4" s="8" t="s">
        <v>7</v>
      </c>
      <c r="B4" s="8"/>
      <c r="C4" s="8"/>
      <c r="D4" s="13" t="s">
        <v>32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="3" customFormat="true" ht="21" hidden="false" customHeight="true" outlineLevel="0" collapsed="false">
      <c r="A5" s="15" t="s">
        <v>9</v>
      </c>
      <c r="B5" s="16" t="s">
        <v>10</v>
      </c>
      <c r="C5" s="16" t="s">
        <v>11</v>
      </c>
      <c r="D5" s="17" t="s">
        <v>12</v>
      </c>
      <c r="E5" s="17" t="s">
        <v>13</v>
      </c>
      <c r="F5" s="16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9" t="s">
        <v>19</v>
      </c>
      <c r="L5" s="19" t="s">
        <v>20</v>
      </c>
      <c r="M5" s="17" t="s">
        <v>21</v>
      </c>
      <c r="N5" s="16" t="s">
        <v>22</v>
      </c>
      <c r="O5" s="17" t="s">
        <v>23</v>
      </c>
      <c r="P5" s="20" t="s">
        <v>24</v>
      </c>
      <c r="R5" s="21" t="n">
        <f aca="false">R6</f>
        <v>46181.0</v>
      </c>
      <c r="S5" s="21"/>
      <c r="T5" s="21"/>
      <c r="U5" s="21"/>
      <c r="V5" s="21"/>
      <c r="W5" s="21"/>
      <c r="X5" s="21"/>
      <c r="Y5" s="21" t="n">
        <f aca="false">Y6</f>
        <v>46188.0</v>
      </c>
      <c r="Z5" s="21"/>
      <c r="AA5" s="21"/>
      <c r="AB5" s="21"/>
      <c r="AC5" s="21"/>
      <c r="AD5" s="21"/>
      <c r="AE5" s="21"/>
      <c r="AF5" s="21" t="n">
        <f aca="false">AF6</f>
        <v>46195.0</v>
      </c>
      <c r="AG5" s="21"/>
      <c r="AH5" s="21"/>
      <c r="AI5" s="21"/>
      <c r="AJ5" s="21"/>
      <c r="AK5" s="21"/>
      <c r="AL5" s="21"/>
      <c r="AM5" s="21" t="n">
        <f aca="false">AM6</f>
        <v>46202.0</v>
      </c>
      <c r="AN5" s="21"/>
      <c r="AO5" s="21"/>
      <c r="AP5" s="21"/>
      <c r="AQ5" s="21"/>
      <c r="AR5" s="21"/>
      <c r="AS5" s="21"/>
      <c r="AT5" s="21" t="n">
        <f aca="false">AT6</f>
        <v>46209.0</v>
      </c>
      <c r="AU5" s="21"/>
      <c r="AV5" s="21"/>
      <c r="AW5" s="21"/>
      <c r="AX5" s="21"/>
      <c r="AY5" s="21"/>
      <c r="AZ5" s="21"/>
      <c r="BA5" s="21" t="n">
        <f aca="false">BA6</f>
        <v>46216.0</v>
      </c>
      <c r="BB5" s="21"/>
      <c r="BC5" s="21"/>
      <c r="BD5" s="21"/>
      <c r="BE5" s="21"/>
      <c r="BF5" s="21"/>
      <c r="BG5" s="21"/>
      <c r="BH5" s="21" t="n">
        <f aca="false">BH6</f>
        <v>46223.0</v>
      </c>
      <c r="BI5" s="21"/>
      <c r="BJ5" s="21"/>
      <c r="BK5" s="21"/>
      <c r="BL5" s="21"/>
      <c r="BM5" s="21"/>
      <c r="BN5" s="21"/>
      <c r="BO5" s="21" t="n">
        <f aca="false">BO6</f>
        <v>46230.0</v>
      </c>
      <c r="BP5" s="21"/>
      <c r="BQ5" s="21"/>
      <c r="BR5" s="21"/>
      <c r="BS5" s="21"/>
      <c r="BT5" s="21"/>
      <c r="BU5" s="21"/>
    </row>
    <row r="6" s="3" customFormat="true" ht="15" hidden="false" customHeight="true" outlineLevel="0" collapsed="false">
      <c r="A6" s="15"/>
      <c r="B6" s="16"/>
      <c r="C6" s="16"/>
      <c r="D6" s="17"/>
      <c r="E6" s="17"/>
      <c r="F6" s="16"/>
      <c r="G6" s="17"/>
      <c r="H6" s="17"/>
      <c r="I6" s="18"/>
      <c r="J6" s="18"/>
      <c r="K6" s="19"/>
      <c r="L6" s="19"/>
      <c r="M6" s="17"/>
      <c r="N6" s="16"/>
      <c r="O6" s="17"/>
      <c r="P6" s="20"/>
      <c r="Q6" s="22"/>
      <c r="R6" s="23" t="n">
        <f aca="false">Project_Start-WEEKDAY(Project_Start,1)+2+7*(Display_Week-1)</f>
        <v>46181.0</v>
      </c>
      <c r="S6" s="23" t="n">
        <f aca="false">R6+1</f>
        <v>46182.0</v>
      </c>
      <c r="T6" s="23" t="n">
        <f aca="false">S6+1</f>
        <v>46183.0</v>
      </c>
      <c r="U6" s="23" t="n">
        <f aca="false">T6+1</f>
        <v>46184.0</v>
      </c>
      <c r="V6" s="23" t="n">
        <f aca="false">U6+1</f>
        <v>46185.0</v>
      </c>
      <c r="W6" s="23" t="n">
        <f aca="false">V6+1</f>
        <v>46186.0</v>
      </c>
      <c r="X6" s="23" t="n">
        <f aca="false">W6+1</f>
        <v>46187.0</v>
      </c>
      <c r="Y6" s="23" t="n">
        <f aca="false">X6+1</f>
        <v>46188.0</v>
      </c>
      <c r="Z6" s="23" t="n">
        <f aca="false">Y6+1</f>
        <v>46189.0</v>
      </c>
      <c r="AA6" s="23" t="n">
        <f aca="false">Z6+1</f>
        <v>46190.0</v>
      </c>
      <c r="AB6" s="23" t="n">
        <f aca="false">AA6+1</f>
        <v>46191.0</v>
      </c>
      <c r="AC6" s="23" t="n">
        <f aca="false">AB6+1</f>
        <v>46192.0</v>
      </c>
      <c r="AD6" s="23" t="n">
        <f aca="false">AC6+1</f>
        <v>46193.0</v>
      </c>
      <c r="AE6" s="23" t="n">
        <f aca="false">AD6+1</f>
        <v>46194.0</v>
      </c>
      <c r="AF6" s="23" t="n">
        <f aca="false">AE6+1</f>
        <v>46195.0</v>
      </c>
      <c r="AG6" s="23" t="n">
        <f aca="false">AF6+1</f>
        <v>46196.0</v>
      </c>
      <c r="AH6" s="23" t="n">
        <f aca="false">AG6+1</f>
        <v>46197.0</v>
      </c>
      <c r="AI6" s="23" t="n">
        <f aca="false">AH6+1</f>
        <v>46198.0</v>
      </c>
      <c r="AJ6" s="23" t="n">
        <f aca="false">AI6+1</f>
        <v>46199.0</v>
      </c>
      <c r="AK6" s="23" t="n">
        <f aca="false">AJ6+1</f>
        <v>46200.0</v>
      </c>
      <c r="AL6" s="23" t="n">
        <f aca="false">AK6+1</f>
        <v>46201.0</v>
      </c>
      <c r="AM6" s="23" t="n">
        <f aca="false">AL6+1</f>
        <v>46202.0</v>
      </c>
      <c r="AN6" s="23" t="n">
        <f aca="false">AM6+1</f>
        <v>46203.0</v>
      </c>
      <c r="AO6" s="23" t="n">
        <f aca="false">AN6+1</f>
        <v>46204.0</v>
      </c>
      <c r="AP6" s="23" t="n">
        <f aca="false">AO6+1</f>
        <v>46205.0</v>
      </c>
      <c r="AQ6" s="23" t="n">
        <f aca="false">AP6+1</f>
        <v>46206.0</v>
      </c>
      <c r="AR6" s="23" t="n">
        <f aca="false">AQ6+1</f>
        <v>46207.0</v>
      </c>
      <c r="AS6" s="23" t="n">
        <f aca="false">AR6+1</f>
        <v>46208.0</v>
      </c>
      <c r="AT6" s="23" t="n">
        <f aca="false">AS6+1</f>
        <v>46209.0</v>
      </c>
      <c r="AU6" s="23" t="n">
        <f aca="false">AT6+1</f>
        <v>46210.0</v>
      </c>
      <c r="AV6" s="23" t="n">
        <f aca="false">AU6+1</f>
        <v>46211.0</v>
      </c>
      <c r="AW6" s="23" t="n">
        <f aca="false">AV6+1</f>
        <v>46212.0</v>
      </c>
      <c r="AX6" s="23" t="n">
        <f aca="false">AW6+1</f>
        <v>46213.0</v>
      </c>
      <c r="AY6" s="23" t="n">
        <f aca="false">AX6+1</f>
        <v>46214.0</v>
      </c>
      <c r="AZ6" s="23" t="n">
        <f aca="false">AY6+1</f>
        <v>46215.0</v>
      </c>
      <c r="BA6" s="23" t="n">
        <f aca="false">AZ6+1</f>
        <v>46216.0</v>
      </c>
      <c r="BB6" s="23" t="n">
        <f aca="false">BA6+1</f>
        <v>46217.0</v>
      </c>
      <c r="BC6" s="23" t="n">
        <f aca="false">BB6+1</f>
        <v>46218.0</v>
      </c>
      <c r="BD6" s="23" t="n">
        <f aca="false">BC6+1</f>
        <v>46219.0</v>
      </c>
      <c r="BE6" s="23" t="n">
        <f aca="false">BD6+1</f>
        <v>46220.0</v>
      </c>
      <c r="BF6" s="23" t="n">
        <f aca="false">BE6+1</f>
        <v>46221.0</v>
      </c>
      <c r="BG6" s="23" t="n">
        <f aca="false">BF6+1</f>
        <v>46222.0</v>
      </c>
      <c r="BH6" s="23" t="n">
        <f aca="false">BG6+1</f>
        <v>46223.0</v>
      </c>
      <c r="BI6" s="23" t="n">
        <f aca="false">BH6+1</f>
        <v>46224.0</v>
      </c>
      <c r="BJ6" s="23" t="n">
        <f aca="false">BI6+1</f>
        <v>46225.0</v>
      </c>
      <c r="BK6" s="23" t="n">
        <f aca="false">BJ6+1</f>
        <v>46226.0</v>
      </c>
      <c r="BL6" s="23" t="n">
        <f aca="false">BK6+1</f>
        <v>46227.0</v>
      </c>
      <c r="BM6" s="23" t="n">
        <f aca="false">BL6+1</f>
        <v>46228.0</v>
      </c>
      <c r="BN6" s="23" t="n">
        <f aca="false">BM6+1</f>
        <v>46229.0</v>
      </c>
      <c r="BO6" s="23" t="n">
        <f aca="false">BN6+1</f>
        <v>46230.0</v>
      </c>
      <c r="BP6" s="23" t="n">
        <f aca="false">BO6+1</f>
        <v>46231.0</v>
      </c>
      <c r="BQ6" s="23" t="n">
        <f aca="false">BP6+1</f>
        <v>46232.0</v>
      </c>
      <c r="BR6" s="23" t="n">
        <f aca="false">BQ6+1</f>
        <v>46233.0</v>
      </c>
      <c r="BS6" s="23" t="n">
        <f aca="false">BR6+1</f>
        <v>46234.0</v>
      </c>
      <c r="BT6" s="23" t="n">
        <f aca="false">BS6+1</f>
        <v>46235.0</v>
      </c>
      <c r="BU6" s="23" t="n">
        <f aca="false">BT6+1</f>
        <v>46236.0</v>
      </c>
    </row>
    <row r="7" s="3" customFormat="true" ht="15.75" hidden="false" customHeight="false" outlineLevel="0" collapsed="false">
      <c r="A7" s="15"/>
      <c r="B7" s="16"/>
      <c r="C7" s="16"/>
      <c r="D7" s="17"/>
      <c r="E7" s="17"/>
      <c r="F7" s="16"/>
      <c r="G7" s="17"/>
      <c r="H7" s="17"/>
      <c r="I7" s="18"/>
      <c r="J7" s="18"/>
      <c r="K7" s="19"/>
      <c r="L7" s="19"/>
      <c r="M7" s="17"/>
      <c r="N7" s="16"/>
      <c r="O7" s="17"/>
      <c r="P7" s="20"/>
      <c r="Q7" s="22"/>
      <c r="R7" s="24" t="str">
        <f aca="false">LEFT(TEXT(R6,"ddd"),1)</f>
        <v>M</v>
      </c>
      <c r="S7" s="24" t="str">
        <f aca="false">LEFT(TEXT(S6,"ddd"),1)</f>
        <v>T</v>
      </c>
      <c r="T7" s="24" t="str">
        <f aca="false">LEFT(TEXT(T6,"ddd"),1)</f>
        <v>W</v>
      </c>
      <c r="U7" s="24" t="str">
        <f aca="false">LEFT(TEXT(U6,"ddd"),1)</f>
        <v>T</v>
      </c>
      <c r="V7" s="24" t="str">
        <f aca="false">LEFT(TEXT(V6,"ddd"),1)</f>
        <v>F</v>
      </c>
      <c r="W7" s="24" t="str">
        <f aca="false">LEFT(TEXT(W6,"ddd"),1)</f>
        <v>S</v>
      </c>
      <c r="X7" s="24" t="str">
        <f aca="false">LEFT(TEXT(X6,"ddd"),1)</f>
        <v>S</v>
      </c>
      <c r="Y7" s="24" t="str">
        <f aca="false">LEFT(TEXT(Y6,"ddd"),1)</f>
        <v>M</v>
      </c>
      <c r="Z7" s="24" t="str">
        <f aca="false">LEFT(TEXT(Z6,"ddd"),1)</f>
        <v>T</v>
      </c>
      <c r="AA7" s="24" t="str">
        <f aca="false">LEFT(TEXT(AA6,"ddd"),1)</f>
        <v>W</v>
      </c>
      <c r="AB7" s="24" t="str">
        <f aca="false">LEFT(TEXT(AB6,"ddd"),1)</f>
        <v>T</v>
      </c>
      <c r="AC7" s="24" t="str">
        <f aca="false">LEFT(TEXT(AC6,"ddd"),1)</f>
        <v>F</v>
      </c>
      <c r="AD7" s="24" t="str">
        <f aca="false">LEFT(TEXT(AD6,"ddd"),1)</f>
        <v>S</v>
      </c>
      <c r="AE7" s="24" t="str">
        <f aca="false">LEFT(TEXT(AE6,"ddd"),1)</f>
        <v>S</v>
      </c>
      <c r="AF7" s="24" t="str">
        <f aca="false">LEFT(TEXT(AF6,"ddd"),1)</f>
        <v>M</v>
      </c>
      <c r="AG7" s="24" t="str">
        <f aca="false">LEFT(TEXT(AG6,"ddd"),1)</f>
        <v>T</v>
      </c>
      <c r="AH7" s="24" t="str">
        <f aca="false">LEFT(TEXT(AH6,"ddd"),1)</f>
        <v>W</v>
      </c>
      <c r="AI7" s="24" t="str">
        <f aca="false">LEFT(TEXT(AI6,"ddd"),1)</f>
        <v>T</v>
      </c>
      <c r="AJ7" s="24" t="str">
        <f aca="false">LEFT(TEXT(AJ6,"ddd"),1)</f>
        <v>F</v>
      </c>
      <c r="AK7" s="24" t="str">
        <f aca="false">LEFT(TEXT(AK6,"ddd"),1)</f>
        <v>S</v>
      </c>
      <c r="AL7" s="24" t="str">
        <f aca="false">LEFT(TEXT(AL6,"ddd"),1)</f>
        <v>S</v>
      </c>
      <c r="AM7" s="24" t="str">
        <f aca="false">LEFT(TEXT(AM6,"ddd"),1)</f>
        <v>M</v>
      </c>
      <c r="AN7" s="24" t="str">
        <f aca="false">LEFT(TEXT(AN6,"ddd"),1)</f>
        <v>T</v>
      </c>
      <c r="AO7" s="24" t="str">
        <f aca="false">LEFT(TEXT(AO6,"ddd"),1)</f>
        <v>W</v>
      </c>
      <c r="AP7" s="24" t="str">
        <f aca="false">LEFT(TEXT(AP6,"ddd"),1)</f>
        <v>T</v>
      </c>
      <c r="AQ7" s="24" t="str">
        <f aca="false">LEFT(TEXT(AQ6,"ddd"),1)</f>
        <v>F</v>
      </c>
      <c r="AR7" s="24" t="str">
        <f aca="false">LEFT(TEXT(AR6,"ddd"),1)</f>
        <v>S</v>
      </c>
      <c r="AS7" s="24" t="str">
        <f aca="false">LEFT(TEXT(AS6,"ddd"),1)</f>
        <v>S</v>
      </c>
      <c r="AT7" s="24" t="str">
        <f aca="false">LEFT(TEXT(AT6,"ddd"),1)</f>
        <v>M</v>
      </c>
      <c r="AU7" s="24" t="str">
        <f aca="false">LEFT(TEXT(AU6,"ddd"),1)</f>
        <v>T</v>
      </c>
      <c r="AV7" s="24" t="str">
        <f aca="false">LEFT(TEXT(AV6,"ddd"),1)</f>
        <v>W</v>
      </c>
      <c r="AW7" s="24" t="str">
        <f aca="false">LEFT(TEXT(AW6,"ddd"),1)</f>
        <v>T</v>
      </c>
      <c r="AX7" s="24" t="str">
        <f aca="false">LEFT(TEXT(AX6,"ddd"),1)</f>
        <v>F</v>
      </c>
      <c r="AY7" s="24" t="str">
        <f aca="false">LEFT(TEXT(AY6,"ddd"),1)</f>
        <v>S</v>
      </c>
      <c r="AZ7" s="24" t="str">
        <f aca="false">LEFT(TEXT(AZ6,"ddd"),1)</f>
        <v>S</v>
      </c>
      <c r="BA7" s="24" t="str">
        <f aca="false">LEFT(TEXT(BA6,"ddd"),1)</f>
        <v>M</v>
      </c>
      <c r="BB7" s="24" t="str">
        <f aca="false">LEFT(TEXT(BB6,"ddd"),1)</f>
        <v>T</v>
      </c>
      <c r="BC7" s="24" t="str">
        <f aca="false">LEFT(TEXT(BC6,"ddd"),1)</f>
        <v>W</v>
      </c>
      <c r="BD7" s="24" t="str">
        <f aca="false">LEFT(TEXT(BD6,"ddd"),1)</f>
        <v>T</v>
      </c>
      <c r="BE7" s="24" t="str">
        <f aca="false">LEFT(TEXT(BE6,"ddd"),1)</f>
        <v>F</v>
      </c>
      <c r="BF7" s="24" t="str">
        <f aca="false">LEFT(TEXT(BF6,"ddd"),1)</f>
        <v>S</v>
      </c>
      <c r="BG7" s="24" t="str">
        <f aca="false">LEFT(TEXT(BG6,"ddd"),1)</f>
        <v>S</v>
      </c>
      <c r="BH7" s="24" t="str">
        <f aca="false">LEFT(TEXT(BH6,"ddd"),1)</f>
        <v>M</v>
      </c>
      <c r="BI7" s="24" t="str">
        <f aca="false">LEFT(TEXT(BI6,"ddd"),1)</f>
        <v>T</v>
      </c>
      <c r="BJ7" s="24" t="str">
        <f aca="false">LEFT(TEXT(BJ6,"ddd"),1)</f>
        <v>W</v>
      </c>
      <c r="BK7" s="24" t="str">
        <f aca="false">LEFT(TEXT(BK6,"ddd"),1)</f>
        <v>T</v>
      </c>
      <c r="BL7" s="24" t="str">
        <f aca="false">LEFT(TEXT(BL6,"ddd"),1)</f>
        <v>F</v>
      </c>
      <c r="BM7" s="24" t="str">
        <f aca="false">LEFT(TEXT(BM6,"ddd"),1)</f>
        <v>S</v>
      </c>
      <c r="BN7" s="24" t="str">
        <f aca="false">LEFT(TEXT(BN6,"ddd"),1)</f>
        <v>S</v>
      </c>
      <c r="BO7" s="24" t="str">
        <f aca="false">LEFT(TEXT(BO6,"ddd"),1)</f>
        <v>M</v>
      </c>
      <c r="BP7" s="24" t="str">
        <f aca="false">LEFT(TEXT(BP6,"ddd"),1)</f>
        <v>T</v>
      </c>
      <c r="BQ7" s="24" t="str">
        <f aca="false">LEFT(TEXT(BQ6,"ddd"),1)</f>
        <v>W</v>
      </c>
      <c r="BR7" s="24" t="str">
        <f aca="false">LEFT(TEXT(BR6,"ddd"),1)</f>
        <v>T</v>
      </c>
      <c r="BS7" s="24" t="str">
        <f aca="false">LEFT(TEXT(BS6,"ddd"),1)</f>
        <v>F</v>
      </c>
      <c r="BT7" s="24" t="str">
        <f aca="false">LEFT(TEXT(BT6,"ddd"),1)</f>
        <v>S</v>
      </c>
      <c r="BU7" s="24" t="str">
        <f aca="false">LEFT(TEXT(BU6,"ddd"),1)</f>
        <v>S</v>
      </c>
    </row>
    <row r="8" customFormat="false" hidden="false" outlineLevel="0" collapsed="false">
      <c r="A8" s="25" t="n">
        <v>1.0</v>
      </c>
      <c r="B8" s="26" t="s">
        <v>33</v>
      </c>
      <c r="C8" s="27" t="s">
        <v>34</v>
      </c>
      <c r="D8" s="28" t="s">
        <v>35</v>
      </c>
      <c r="E8" s="28" t="s">
        <v>36</v>
      </c>
      <c r="F8" s="29" t="s">
        <v>37</v>
      </c>
      <c r="G8" s="25" t="s">
        <v>38</v>
      </c>
      <c r="H8" s="30" t="n">
        <v>0.2</v>
      </c>
      <c r="I8" s="31" t="n">
        <v>46184.0</v>
      </c>
      <c r="J8" s="31" t="n">
        <f aca="false">WORKDAY(I8,ROUND(H8*5,0)-1)</f>
        <v>46184.0</v>
      </c>
      <c r="K8" s="31" t="n">
        <v>46184.0</v>
      </c>
      <c r="L8" s="31" t="n">
        <v>46184.0</v>
      </c>
      <c r="M8" s="32" t="n">
        <f aca="false">IF(OR(ISBLANK(K8),ISBLANK(L8)),"",NETWORKDAYS(K8,L8)/5)</f>
        <v>0.2</v>
      </c>
      <c r="N8" s="33" t="n">
        <v>1.0</v>
      </c>
      <c r="O8" s="25" t="str">
        <f aca="false">IF($N8&gt;=1,"Completed",
 IF($N8=0,"Not Started",
 "In Progress"))</f>
        <v>Completed</v>
      </c>
      <c r="P8" s="25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37" t="s">
        <v>38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X8" s="36"/>
      <c r="BY8" s="36"/>
      <c r="BZ8" s="36"/>
      <c r="CA8" s="36"/>
      <c r="CB8" s="36"/>
      <c r="CC8" s="36"/>
      <c r="CD8" s="36"/>
    </row>
    <row r="9">
      <c r="A9" s="25" t="n">
        <v>2.0</v>
      </c>
      <c r="B9" s="26" t="s">
        <v>33</v>
      </c>
      <c r="C9" s="27" t="s">
        <v>34</v>
      </c>
      <c r="D9" s="28" t="s">
        <v>35</v>
      </c>
      <c r="E9" s="28" t="s">
        <v>36</v>
      </c>
      <c r="F9" s="29" t="s">
        <v>39</v>
      </c>
      <c r="G9" s="25" t="s">
        <v>38</v>
      </c>
      <c r="H9" s="30" t="n">
        <v>0.3</v>
      </c>
      <c r="I9" s="31" t="n">
        <v>46185.0</v>
      </c>
      <c r="J9" s="31" t="n">
        <f>WORKDAY(I9,ROUND(H9*5,0)-1)</f>
        <v>46188.0</v>
      </c>
      <c r="K9" s="31" t="n">
        <v>46185.0</v>
      </c>
      <c r="L9" s="31"/>
      <c r="M9" s="32" t="str">
        <f>IF(OR(ISBLANK(K9),ISBLANK(L9)),"",NETWORKDAYS(K9,L9)/5)</f>
        <v/>
      </c>
      <c r="N9" s="33"/>
      <c r="O9" s="25" t="str">
        <f>IF($N9&gt;=1,"Completed",
 IF($N9=0,"Not Started",
 "In Progress"))</f>
        <v>Not Started</v>
      </c>
      <c r="P9" s="25" t="str">
        <f>IF($N9&gt;=1,
    IF($M9&gt;$K9,"Delayed","On Track"),
 IF(TODAY()&lt;$J9,
    "On Track",
 IF(AND($N9=0,TODAY()&gt;$K9),
    "Delayed",
 IF(AND($L9&lt;&gt;"",$L9&gt;$J9),
    "At Risk",
 IF(TODAY()&gt;$K9,
    "Delayed",
 "On Track")))))</f>
        <v>Delayed</v>
      </c>
      <c r="Q9" s="38" t="s">
        <v>38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X9" s="36"/>
      <c r="BY9" s="36"/>
      <c r="BZ9" s="36"/>
      <c r="CA9" s="36"/>
      <c r="CB9" s="36"/>
      <c r="CC9" s="36"/>
      <c r="CD9" s="36"/>
    </row>
    <row r="10">
      <c r="A10" s="25" t="n">
        <v>3.0</v>
      </c>
      <c r="B10" s="26" t="s">
        <v>33</v>
      </c>
      <c r="C10" s="27" t="s">
        <v>34</v>
      </c>
      <c r="D10" s="28" t="s">
        <v>35</v>
      </c>
      <c r="E10" s="28" t="s">
        <v>36</v>
      </c>
      <c r="F10" s="29" t="s">
        <v>40</v>
      </c>
      <c r="G10" s="25" t="s">
        <v>38</v>
      </c>
      <c r="H10" s="30" t="n">
        <v>0.2</v>
      </c>
      <c r="I10" s="31" t="n">
        <v>46188.0</v>
      </c>
      <c r="J10" s="31" t="n">
        <f>WORKDAY(I10,ROUND(H10*5,0)-1)</f>
        <v>46188.0</v>
      </c>
      <c r="K10" s="31" t="n">
        <v>46219.0</v>
      </c>
      <c r="L10" s="31" t="n">
        <v>46219.0</v>
      </c>
      <c r="M10" s="32" t="n">
        <f>IF(OR(ISBLANK(K10),ISBLANK(L10)),"",NETWORKDAYS(K10,L10)/5)</f>
        <v>0.2</v>
      </c>
      <c r="N10" s="33" t="n">
        <v>1.0</v>
      </c>
      <c r="O10" s="25" t="str">
        <f>IF($N10&gt;=1,"Completed",
 IF($N10=0,"Not Started",
 "In Progress"))</f>
        <v>Completed</v>
      </c>
      <c r="P10" s="25" t="str">
        <f>IF($N10&gt;=1,
    IF($M10&gt;$K10,"Delayed","On Track"),
 IF(TODAY()&lt;$J10,
    "On Track",
 IF(AND($N10=0,TODAY()&gt;$K10),
    "Delayed",
 IF(AND($L10&lt;&gt;"",$L10&gt;$J10),
    "At Risk",
 IF(TODAY()&gt;$K10,
    "Delayed",
 "On Track")))))</f>
        <v>On Track</v>
      </c>
      <c r="Q10" s="39" t="s">
        <v>38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X10" s="36"/>
      <c r="BY10" s="36"/>
      <c r="BZ10" s="36"/>
      <c r="CA10" s="36"/>
      <c r="CB10" s="36"/>
      <c r="CC10" s="36"/>
      <c r="CD10" s="36"/>
    </row>
    <row r="11">
      <c r="A11" s="25" t="n">
        <v>4.0</v>
      </c>
      <c r="B11" s="26" t="s">
        <v>33</v>
      </c>
      <c r="C11" s="27" t="s">
        <v>34</v>
      </c>
      <c r="D11" s="28" t="s">
        <v>41</v>
      </c>
      <c r="E11" s="28" t="s">
        <v>42</v>
      </c>
      <c r="F11" s="29" t="s">
        <v>43</v>
      </c>
      <c r="G11" s="25" t="s">
        <v>38</v>
      </c>
      <c r="H11" s="30" t="n">
        <v>0.3</v>
      </c>
      <c r="I11" s="31" t="n">
        <v>46188.0</v>
      </c>
      <c r="J11" s="31" t="n">
        <f>WORKDAY(I11,ROUND(H11*5,0)-1)</f>
        <v>46189.0</v>
      </c>
      <c r="K11" s="31"/>
      <c r="L11" s="31"/>
      <c r="M11" s="32" t="str">
        <f>IF(OR(ISBLANK(K11),ISBLANK(L11)),"",NETWORKDAYS(K11,L11)/5)</f>
        <v/>
      </c>
      <c r="N11" s="33"/>
      <c r="O11" s="25" t="str">
        <f>IF($N11&gt;=1,"Completed",
 IF($N11=0,"Not Started",
 "In Progress"))</f>
        <v>Not Started</v>
      </c>
      <c r="P11" s="25" t="str">
        <f>IF($N11&gt;=1,
    IF($M11&gt;$K11,"Delayed","On Track"),
 IF(TODAY()&lt;$J11,
    "On Track",
 IF(AND($N11=0,TODAY()&gt;$K11),
    "Delayed",
 IF(AND($L11&lt;&gt;"",$L11&gt;$J11),
    "At Risk",
 IF(TODAY()&gt;$K11,
    "Delayed",
 "On Track")))))</f>
        <v>Delayed</v>
      </c>
      <c r="Q11" s="40" t="s">
        <v>38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X11" s="36"/>
      <c r="BY11" s="36"/>
      <c r="BZ11" s="36"/>
      <c r="CA11" s="36"/>
      <c r="CB11" s="36"/>
      <c r="CC11" s="36"/>
      <c r="CD11" s="36"/>
    </row>
    <row r="12">
      <c r="A12" s="25" t="n">
        <v>5.0</v>
      </c>
      <c r="B12" s="26" t="s">
        <v>33</v>
      </c>
      <c r="C12" s="27" t="s">
        <v>34</v>
      </c>
      <c r="D12" s="28" t="s">
        <v>41</v>
      </c>
      <c r="E12" s="28" t="s">
        <v>42</v>
      </c>
      <c r="F12" s="29" t="s">
        <v>44</v>
      </c>
      <c r="G12" s="25" t="s">
        <v>38</v>
      </c>
      <c r="H12" s="30" t="n">
        <v>0.2</v>
      </c>
      <c r="I12" s="31" t="n">
        <v>46190.0</v>
      </c>
      <c r="J12" s="31" t="n">
        <f>WORKDAY(I12,ROUND(H12*5,0)-1)</f>
        <v>46190.0</v>
      </c>
      <c r="K12" s="31"/>
      <c r="L12" s="31"/>
      <c r="M12" s="32" t="str">
        <f>IF(OR(ISBLANK(K12),ISBLANK(L12)),"",NETWORKDAYS(K12,L12)/5)</f>
        <v/>
      </c>
      <c r="N12" s="33"/>
      <c r="O12" s="25" t="str">
        <f>IF($N12&gt;=1,"Completed",
 IF($N12=0,"Not Started",
 "In Progress"))</f>
        <v>Not Started</v>
      </c>
      <c r="P12" s="25" t="str">
        <f>IF($N12&gt;=1,
    IF($M12&gt;$K12,"Delayed","On Track"),
 IF(TODAY()&lt;$J12,
    "On Track",
 IF(AND($N12=0,TODAY()&gt;$K12),
    "Delayed",
 IF(AND($L12&lt;&gt;"",$L12&gt;$J12),
    "At Risk",
 IF(TODAY()&gt;$K12,
    "Delayed",
 "On Track")))))</f>
        <v>Delayed</v>
      </c>
      <c r="Q12" s="41" t="s">
        <v>38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X12" s="36"/>
      <c r="BY12" s="36"/>
      <c r="BZ12" s="36"/>
      <c r="CA12" s="36"/>
      <c r="CB12" s="36"/>
      <c r="CC12" s="36"/>
      <c r="CD12" s="36"/>
    </row>
    <row r="13">
      <c r="A13" s="25" t="n">
        <v>6.0</v>
      </c>
      <c r="B13" s="26" t="s">
        <v>33</v>
      </c>
      <c r="C13" s="27" t="s">
        <v>34</v>
      </c>
      <c r="D13" s="28" t="s">
        <v>41</v>
      </c>
      <c r="E13" s="28" t="s">
        <v>42</v>
      </c>
      <c r="F13" s="29" t="s">
        <v>45</v>
      </c>
      <c r="G13" s="25" t="s">
        <v>38</v>
      </c>
      <c r="H13" s="30" t="n">
        <v>0.2</v>
      </c>
      <c r="I13" s="31" t="n">
        <v>46190.0</v>
      </c>
      <c r="J13" s="31" t="n">
        <f>WORKDAY(I13,ROUND(H13*5,0)-1)</f>
        <v>46190.0</v>
      </c>
      <c r="K13" s="31"/>
      <c r="L13" s="31"/>
      <c r="M13" s="32" t="str">
        <f>IF(OR(ISBLANK(K13),ISBLANK(L13)),"",NETWORKDAYS(K13,L13)/5)</f>
        <v/>
      </c>
      <c r="N13" s="33"/>
      <c r="O13" s="25" t="str">
        <f>IF($N13&gt;=1,"Completed",
 IF($N13=0,"Not Started",
 "In Progress"))</f>
        <v>Not Started</v>
      </c>
      <c r="P13" s="25" t="str">
        <f>IF($N13&gt;=1,
    IF($M13&gt;$K13,"Delayed","On Track"),
 IF(TODAY()&lt;$J13,
    "On Track",
 IF(AND($N13=0,TODAY()&gt;$K13),
    "Delayed",
 IF(AND($L13&lt;&gt;"",$L13&gt;$J13),
    "At Risk",
 IF(TODAY()&gt;$K13,
    "Delayed",
 "On Track")))))</f>
        <v>Delayed</v>
      </c>
      <c r="Q13" s="42" t="s">
        <v>38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X13" s="36"/>
      <c r="BY13" s="36"/>
      <c r="BZ13" s="36"/>
      <c r="CA13" s="36"/>
      <c r="CB13" s="36"/>
      <c r="CC13" s="36"/>
      <c r="CD13" s="36"/>
    </row>
    <row r="14">
      <c r="A14" s="25" t="n">
        <v>7.0</v>
      </c>
      <c r="B14" s="26" t="s">
        <v>33</v>
      </c>
      <c r="C14" s="27" t="s">
        <v>34</v>
      </c>
      <c r="D14" s="28" t="s">
        <v>46</v>
      </c>
      <c r="E14" s="28" t="s">
        <v>47</v>
      </c>
      <c r="F14" s="29" t="s">
        <v>48</v>
      </c>
      <c r="G14" s="25" t="s">
        <v>38</v>
      </c>
      <c r="H14" s="30" t="n">
        <v>0.4</v>
      </c>
      <c r="I14" s="31" t="n">
        <v>46191.0</v>
      </c>
      <c r="J14" s="31" t="n">
        <f>WORKDAY(I14,ROUND(H14*5,0)-1)</f>
        <v>46192.0</v>
      </c>
      <c r="K14" s="31"/>
      <c r="L14" s="31"/>
      <c r="M14" s="32" t="str">
        <f>IF(OR(ISBLANK(K14),ISBLANK(L14)),"",NETWORKDAYS(K14,L14)/5)</f>
        <v/>
      </c>
      <c r="N14" s="33"/>
      <c r="O14" s="25" t="str">
        <f>IF($N14&gt;=1,"Completed",
 IF($N14=0,"Not Started",
 "In Progress"))</f>
        <v>Not Started</v>
      </c>
      <c r="P14" s="25" t="str">
        <f>IF($N14&gt;=1,
    IF($M14&gt;$K14,"Delayed","On Track"),
 IF(TODAY()&lt;$J14,
    "On Track",
 IF(AND($N14=0,TODAY()&gt;$K14),
    "Delayed",
 IF(AND($L14&lt;&gt;"",$L14&gt;$J14),
    "At Risk",
 IF(TODAY()&gt;$K14,
    "Delayed",
 "On Track")))))</f>
        <v>Delayed</v>
      </c>
      <c r="Q14" s="43" t="s">
        <v>38</v>
      </c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X14" s="36"/>
      <c r="BY14" s="36"/>
      <c r="BZ14" s="36"/>
      <c r="CA14" s="36"/>
      <c r="CB14" s="36"/>
      <c r="CC14" s="36"/>
      <c r="CD14" s="36"/>
    </row>
    <row r="15">
      <c r="A15" s="25" t="n">
        <v>8.0</v>
      </c>
      <c r="B15" s="26" t="s">
        <v>33</v>
      </c>
      <c r="C15" s="27" t="s">
        <v>34</v>
      </c>
      <c r="D15" s="28" t="s">
        <v>46</v>
      </c>
      <c r="E15" s="28" t="s">
        <v>47</v>
      </c>
      <c r="F15" s="29" t="s">
        <v>49</v>
      </c>
      <c r="G15" s="25" t="s">
        <v>38</v>
      </c>
      <c r="H15" s="30" t="n">
        <v>0.3</v>
      </c>
      <c r="I15" s="31" t="n">
        <v>46191.0</v>
      </c>
      <c r="J15" s="31" t="n">
        <f>WORKDAY(I15,ROUND(H15*5,0)-1)</f>
        <v>46192.0</v>
      </c>
      <c r="K15" s="31"/>
      <c r="L15" s="31"/>
      <c r="M15" s="32" t="str">
        <f>IF(OR(ISBLANK(K15),ISBLANK(L15)),"",NETWORKDAYS(K15,L15)/5)</f>
        <v/>
      </c>
      <c r="N15" s="33"/>
      <c r="O15" s="25" t="str">
        <f>IF($N15&gt;=1,"Completed",
 IF($N15=0,"Not Started",
 "In Progress"))</f>
        <v>Not Started</v>
      </c>
      <c r="P15" s="25" t="str">
        <f>IF($N15&gt;=1,
    IF($M15&gt;$K15,"Delayed","On Track"),
 IF(TODAY()&lt;$J15,
    "On Track",
 IF(AND($N15=0,TODAY()&gt;$K15),
    "Delayed",
 IF(AND($L15&lt;&gt;"",$L15&gt;$J15),
    "At Risk",
 IF(TODAY()&gt;$K15,
    "Delayed",
 "On Track")))))</f>
        <v>Delayed</v>
      </c>
      <c r="Q15" s="44" t="s">
        <v>38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X15" s="36"/>
      <c r="BY15" s="36"/>
      <c r="BZ15" s="36"/>
      <c r="CA15" s="36"/>
      <c r="CB15" s="36"/>
      <c r="CC15" s="36"/>
      <c r="CD15" s="36"/>
    </row>
    <row r="16">
      <c r="A16" s="25" t="n">
        <v>9.0</v>
      </c>
      <c r="B16" s="26" t="s">
        <v>33</v>
      </c>
      <c r="C16" s="27" t="s">
        <v>34</v>
      </c>
      <c r="D16" s="28" t="s">
        <v>46</v>
      </c>
      <c r="E16" s="28" t="s">
        <v>47</v>
      </c>
      <c r="F16" s="29" t="s">
        <v>50</v>
      </c>
      <c r="G16" s="25" t="s">
        <v>38</v>
      </c>
      <c r="H16" s="30" t="n">
        <v>0.3</v>
      </c>
      <c r="I16" s="31" t="n">
        <v>46192.0</v>
      </c>
      <c r="J16" s="31" t="n">
        <f>WORKDAY(I16,ROUND(H16*5,0)-1)</f>
        <v>46195.0</v>
      </c>
      <c r="K16" s="31"/>
      <c r="L16" s="31"/>
      <c r="M16" s="32" t="str">
        <f>IF(OR(ISBLANK(K16),ISBLANK(L16)),"",NETWORKDAYS(K16,L16)/5)</f>
        <v/>
      </c>
      <c r="N16" s="33"/>
      <c r="O16" s="25" t="str">
        <f>IF($N16&gt;=1,"Completed",
 IF($N16=0,"Not Started",
 "In Progress"))</f>
        <v>Not Started</v>
      </c>
      <c r="P16" s="25" t="str">
        <f>IF($N16&gt;=1,
    IF($M16&gt;$K16,"Delayed","On Track"),
 IF(TODAY()&lt;$J16,
    "On Track",
 IF(AND($N16=0,TODAY()&gt;$K16),
    "Delayed",
 IF(AND($L16&lt;&gt;"",$L16&gt;$J16),
    "At Risk",
 IF(TODAY()&gt;$K16,
    "Delayed",
 "On Track")))))</f>
        <v>Delayed</v>
      </c>
      <c r="Q16" s="45" t="s">
        <v>38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X16" s="36"/>
      <c r="BY16" s="36"/>
      <c r="BZ16" s="36"/>
      <c r="CA16" s="36"/>
      <c r="CB16" s="36"/>
      <c r="CC16" s="36"/>
      <c r="CD16" s="36"/>
    </row>
    <row r="17">
      <c r="A17" s="25" t="n">
        <v>10.0</v>
      </c>
      <c r="B17" s="26" t="s">
        <v>33</v>
      </c>
      <c r="C17" s="27" t="s">
        <v>34</v>
      </c>
      <c r="D17" s="28" t="s">
        <v>51</v>
      </c>
      <c r="E17" s="28" t="s">
        <v>52</v>
      </c>
      <c r="F17" s="29" t="s">
        <v>53</v>
      </c>
      <c r="G17" s="25" t="s">
        <v>38</v>
      </c>
      <c r="H17" s="30" t="n">
        <v>0.2</v>
      </c>
      <c r="I17" s="31" t="n">
        <v>46193.0</v>
      </c>
      <c r="J17" s="31" t="n">
        <f>WORKDAY(I17,ROUND(H17*5,0)-1)</f>
        <v>46193.0</v>
      </c>
      <c r="K17" s="31"/>
      <c r="L17" s="31"/>
      <c r="M17" s="32" t="str">
        <f>IF(OR(ISBLANK(K17),ISBLANK(L17)),"",NETWORKDAYS(K17,L17)/5)</f>
        <v/>
      </c>
      <c r="N17" s="33"/>
      <c r="O17" s="25" t="str">
        <f>IF($N17&gt;=1,"Completed",
 IF($N17=0,"Not Started",
 "In Progress"))</f>
        <v>Not Started</v>
      </c>
      <c r="P17" s="25" t="str">
        <f>IF($N17&gt;=1,
    IF($M17&gt;$K17,"Delayed","On Track"),
 IF(TODAY()&lt;$J17,
    "On Track",
 IF(AND($N17=0,TODAY()&gt;$K17),
    "Delayed",
 IF(AND($L17&lt;&gt;"",$L17&gt;$J17),
    "At Risk",
 IF(TODAY()&gt;$K17,
    "Delayed",
 "On Track")))))</f>
        <v>Delayed</v>
      </c>
      <c r="Q17" s="46" t="s">
        <v>38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X17" s="36"/>
      <c r="BY17" s="36"/>
      <c r="BZ17" s="36"/>
      <c r="CA17" s="36"/>
      <c r="CB17" s="36"/>
      <c r="CC17" s="36"/>
      <c r="CD17" s="36"/>
    </row>
    <row r="18">
      <c r="A18" s="25" t="n">
        <v>11.0</v>
      </c>
      <c r="B18" s="26" t="s">
        <v>33</v>
      </c>
      <c r="C18" s="27" t="s">
        <v>34</v>
      </c>
      <c r="D18" s="28" t="s">
        <v>51</v>
      </c>
      <c r="E18" s="28" t="s">
        <v>52</v>
      </c>
      <c r="F18" s="29" t="s">
        <v>54</v>
      </c>
      <c r="G18" s="25" t="s">
        <v>38</v>
      </c>
      <c r="H18" s="30" t="n">
        <v>1.0</v>
      </c>
      <c r="I18" s="31" t="n">
        <v>46193.0</v>
      </c>
      <c r="J18" s="31" t="n">
        <f>WORKDAY(I18,ROUND(H18*5,0)-1)</f>
        <v>46198.0</v>
      </c>
      <c r="K18" s="31"/>
      <c r="L18" s="31"/>
      <c r="M18" s="32" t="str">
        <f>IF(OR(ISBLANK(K18),ISBLANK(L18)),"",NETWORKDAYS(K18,L18)/5)</f>
        <v/>
      </c>
      <c r="N18" s="33"/>
      <c r="O18" s="25" t="str">
        <f>IF($N18&gt;=1,"Completed",
 IF($N18=0,"Not Started",
 "In Progress"))</f>
        <v>Not Started</v>
      </c>
      <c r="P18" s="25" t="str">
        <f>IF($N18&gt;=1,
    IF($M18&gt;$K18,"Delayed","On Track"),
 IF(TODAY()&lt;$J18,
    "On Track",
 IF(AND($N18=0,TODAY()&gt;$K18),
    "Delayed",
 IF(AND($L18&lt;&gt;"",$L18&gt;$J18),
    "At Risk",
 IF(TODAY()&gt;$K18,
    "Delayed",
 "On Track")))))</f>
        <v>Delayed</v>
      </c>
      <c r="Q18" s="47" t="s">
        <v>38</v>
      </c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X18" s="36"/>
      <c r="BY18" s="36"/>
      <c r="BZ18" s="36"/>
      <c r="CA18" s="36"/>
      <c r="CB18" s="36"/>
      <c r="CC18" s="36"/>
      <c r="CD18" s="36"/>
    </row>
    <row r="19">
      <c r="A19" s="25" t="n">
        <v>12.0</v>
      </c>
      <c r="B19" s="26" t="s">
        <v>33</v>
      </c>
      <c r="C19" s="27" t="s">
        <v>34</v>
      </c>
      <c r="D19" s="28" t="s">
        <v>51</v>
      </c>
      <c r="E19" s="28" t="s">
        <v>52</v>
      </c>
      <c r="F19" s="29" t="s">
        <v>55</v>
      </c>
      <c r="G19" s="25" t="s">
        <v>38</v>
      </c>
      <c r="H19" s="30" t="n">
        <v>0.2</v>
      </c>
      <c r="I19" s="31" t="n">
        <v>46193.0</v>
      </c>
      <c r="J19" s="31" t="n">
        <f>WORKDAY(I19,ROUND(H19*5,0)-1)</f>
        <v>46193.0</v>
      </c>
      <c r="K19" s="31"/>
      <c r="L19" s="31"/>
      <c r="M19" s="32" t="str">
        <f>IF(OR(ISBLANK(K19),ISBLANK(L19)),"",NETWORKDAYS(K19,L19)/5)</f>
        <v/>
      </c>
      <c r="N19" s="33"/>
      <c r="O19" s="25" t="str">
        <f>IF($N19&gt;=1,"Completed",
 IF($N19=0,"Not Started",
 "In Progress"))</f>
        <v>Not Started</v>
      </c>
      <c r="P19" s="25" t="str">
        <f>IF($N19&gt;=1,
    IF($M19&gt;$K19,"Delayed","On Track"),
 IF(TODAY()&lt;$J19,
    "On Track",
 IF(AND($N19=0,TODAY()&gt;$K19),
    "Delayed",
 IF(AND($L19&lt;&gt;"",$L19&gt;$J19),
    "At Risk",
 IF(TODAY()&gt;$K19,
    "Delayed",
 "On Track")))))</f>
        <v>Delayed</v>
      </c>
      <c r="Q19" s="48" t="s">
        <v>38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X19" s="36"/>
      <c r="BY19" s="36"/>
      <c r="BZ19" s="36"/>
      <c r="CA19" s="36"/>
      <c r="CB19" s="36"/>
      <c r="CC19" s="36"/>
      <c r="CD19" s="36"/>
    </row>
    <row r="20">
      <c r="A20" s="25" t="n">
        <v>13.0</v>
      </c>
      <c r="B20" s="26" t="s">
        <v>33</v>
      </c>
      <c r="C20" s="27" t="s">
        <v>56</v>
      </c>
      <c r="D20" s="28" t="s">
        <v>57</v>
      </c>
      <c r="E20" s="28" t="s">
        <v>58</v>
      </c>
      <c r="F20" s="29" t="s">
        <v>59</v>
      </c>
      <c r="G20" s="25" t="s">
        <v>38</v>
      </c>
      <c r="H20" s="30" t="n">
        <v>3.0</v>
      </c>
      <c r="I20" s="31" t="n">
        <v>46188.0</v>
      </c>
      <c r="J20" s="31" t="n">
        <f>WORKDAY(I20,ROUND(H20*5,0)-1)</f>
        <v>46206.0</v>
      </c>
      <c r="K20" s="31"/>
      <c r="L20" s="31"/>
      <c r="M20" s="32" t="str">
        <f>IF(OR(ISBLANK(K20),ISBLANK(L20)),"",NETWORKDAYS(K20,L20)/5)</f>
        <v/>
      </c>
      <c r="N20" s="33"/>
      <c r="O20" s="25" t="str">
        <f>IF($N20&gt;=1,"Completed",
 IF($N20=0,"Not Started",
 "In Progress"))</f>
        <v>Not Started</v>
      </c>
      <c r="P20" s="25" t="str">
        <f>IF($N20&gt;=1,
    IF($M20&gt;$K20,"Delayed","On Track"),
 IF(TODAY()&lt;$J20,
    "On Track",
 IF(AND($N20=0,TODAY()&gt;$K20),
    "Delayed",
 IF(AND($L20&lt;&gt;"",$L20&gt;$J20),
    "At Risk",
 IF(TODAY()&gt;$K20,
    "Delayed",
 "On Track")))))</f>
        <v>Delayed</v>
      </c>
      <c r="Q20" s="49" t="s">
        <v>38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X20" s="36"/>
      <c r="BY20" s="36"/>
      <c r="BZ20" s="36"/>
      <c r="CA20" s="36"/>
      <c r="CB20" s="36"/>
      <c r="CC20" s="36"/>
      <c r="CD20" s="36"/>
    </row>
    <row r="21">
      <c r="A21" s="25" t="n">
        <v>14.0</v>
      </c>
      <c r="B21" s="26" t="s">
        <v>33</v>
      </c>
      <c r="C21" s="27" t="s">
        <v>56</v>
      </c>
      <c r="D21" s="28" t="s">
        <v>57</v>
      </c>
      <c r="E21" s="28" t="s">
        <v>58</v>
      </c>
      <c r="F21" s="29" t="s">
        <v>60</v>
      </c>
      <c r="G21" s="25" t="s">
        <v>38</v>
      </c>
      <c r="H21" s="30" t="n">
        <v>3.0</v>
      </c>
      <c r="I21" s="31" t="n">
        <v>46188.0</v>
      </c>
      <c r="J21" s="31" t="n">
        <f>WORKDAY(I21,ROUND(H21*5,0)-1)</f>
        <v>46206.0</v>
      </c>
      <c r="K21" s="31"/>
      <c r="L21" s="31"/>
      <c r="M21" s="32" t="str">
        <f>IF(OR(ISBLANK(K21),ISBLANK(L21)),"",NETWORKDAYS(K21,L21)/5)</f>
        <v/>
      </c>
      <c r="N21" s="33"/>
      <c r="O21" s="25" t="str">
        <f>IF($N21&gt;=1,"Completed",
 IF($N21=0,"Not Started",
 "In Progress"))</f>
        <v>Not Started</v>
      </c>
      <c r="P21" s="25" t="str">
        <f>IF($N21&gt;=1,
    IF($M21&gt;$K21,"Delayed","On Track"),
 IF(TODAY()&lt;$J21,
    "On Track",
 IF(AND($N21=0,TODAY()&gt;$K21),
    "Delayed",
 IF(AND($L21&lt;&gt;"",$L21&gt;$J21),
    "At Risk",
 IF(TODAY()&gt;$K21,
    "Delayed",
 "On Track")))))</f>
        <v>Delayed</v>
      </c>
      <c r="Q21" s="50" t="s">
        <v>38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X21" s="36"/>
      <c r="BY21" s="36"/>
      <c r="BZ21" s="36"/>
      <c r="CA21" s="36"/>
      <c r="CB21" s="36"/>
      <c r="CC21" s="36"/>
      <c r="CD21" s="36"/>
    </row>
    <row r="22">
      <c r="A22" s="25" t="n">
        <v>15.0</v>
      </c>
      <c r="B22" s="26" t="s">
        <v>33</v>
      </c>
      <c r="C22" s="27" t="s">
        <v>56</v>
      </c>
      <c r="D22" s="28" t="s">
        <v>57</v>
      </c>
      <c r="E22" s="28" t="s">
        <v>58</v>
      </c>
      <c r="F22" s="29" t="s">
        <v>61</v>
      </c>
      <c r="G22" s="25" t="s">
        <v>38</v>
      </c>
      <c r="H22" s="30" t="n">
        <v>3.0</v>
      </c>
      <c r="I22" s="31" t="n">
        <v>46188.0</v>
      </c>
      <c r="J22" s="31" t="n">
        <f>WORKDAY(I22,ROUND(H22*5,0)-1)</f>
        <v>46206.0</v>
      </c>
      <c r="K22" s="31"/>
      <c r="L22" s="31"/>
      <c r="M22" s="32" t="str">
        <f>IF(OR(ISBLANK(K22),ISBLANK(L22)),"",NETWORKDAYS(K22,L22)/5)</f>
        <v/>
      </c>
      <c r="N22" s="33"/>
      <c r="O22" s="25" t="str">
        <f>IF($N22&gt;=1,"Completed",
 IF($N22=0,"Not Started",
 "In Progress"))</f>
        <v>Not Started</v>
      </c>
      <c r="P22" s="25" t="str">
        <f>IF($N22&gt;=1,
    IF($M22&gt;$K22,"Delayed","On Track"),
 IF(TODAY()&lt;$J22,
    "On Track",
 IF(AND($N22=0,TODAY()&gt;$K22),
    "Delayed",
 IF(AND($L22&lt;&gt;"",$L22&gt;$J22),
    "At Risk",
 IF(TODAY()&gt;$K22,
    "Delayed",
 "On Track")))))</f>
        <v>Delayed</v>
      </c>
      <c r="Q22" s="51" t="s">
        <v>38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X22" s="36"/>
      <c r="BY22" s="36"/>
      <c r="BZ22" s="36"/>
      <c r="CA22" s="36"/>
      <c r="CB22" s="36"/>
      <c r="CC22" s="36"/>
      <c r="CD22" s="36"/>
    </row>
    <row r="23">
      <c r="A23" s="25" t="n">
        <v>16.0</v>
      </c>
      <c r="B23" s="26" t="s">
        <v>33</v>
      </c>
      <c r="C23" s="27" t="s">
        <v>56</v>
      </c>
      <c r="D23" s="28" t="s">
        <v>62</v>
      </c>
      <c r="E23" s="28" t="s">
        <v>63</v>
      </c>
      <c r="F23" s="29" t="s">
        <v>64</v>
      </c>
      <c r="G23" s="25" t="s">
        <v>38</v>
      </c>
      <c r="H23" s="30" t="n">
        <v>3.0</v>
      </c>
      <c r="I23" s="31" t="n">
        <v>46188.0</v>
      </c>
      <c r="J23" s="31" t="n">
        <f>WORKDAY(I23,ROUND(H23*5,0)-1)</f>
        <v>46206.0</v>
      </c>
      <c r="K23" s="31"/>
      <c r="L23" s="31"/>
      <c r="M23" s="32" t="str">
        <f>IF(OR(ISBLANK(K23),ISBLANK(L23)),"",NETWORKDAYS(K23,L23)/5)</f>
        <v/>
      </c>
      <c r="N23" s="33"/>
      <c r="O23" s="25" t="str">
        <f>IF($N23&gt;=1,"Completed",
 IF($N23=0,"Not Started",
 "In Progress"))</f>
        <v>Not Started</v>
      </c>
      <c r="P23" s="25" t="str">
        <f>IF($N23&gt;=1,
    IF($M23&gt;$K23,"Delayed","On Track"),
 IF(TODAY()&lt;$J23,
    "On Track",
 IF(AND($N23=0,TODAY()&gt;$K23),
    "Delayed",
 IF(AND($L23&lt;&gt;"",$L23&gt;$J23),
    "At Risk",
 IF(TODAY()&gt;$K23,
    "Delayed",
 "On Track")))))</f>
        <v>Delayed</v>
      </c>
      <c r="Q23" s="52" t="s">
        <v>38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X23" s="36"/>
      <c r="BY23" s="36"/>
      <c r="BZ23" s="36"/>
      <c r="CA23" s="36"/>
      <c r="CB23" s="36"/>
      <c r="CC23" s="36"/>
      <c r="CD23" s="36"/>
    </row>
    <row r="24">
      <c r="A24" s="25" t="n">
        <v>17.0</v>
      </c>
      <c r="B24" s="26" t="s">
        <v>33</v>
      </c>
      <c r="C24" s="27" t="s">
        <v>56</v>
      </c>
      <c r="D24" s="28" t="s">
        <v>62</v>
      </c>
      <c r="E24" s="28" t="s">
        <v>63</v>
      </c>
      <c r="F24" s="29" t="s">
        <v>65</v>
      </c>
      <c r="G24" s="25" t="s">
        <v>38</v>
      </c>
      <c r="H24" s="30" t="n">
        <v>3.0</v>
      </c>
      <c r="I24" s="31" t="n">
        <v>46188.0</v>
      </c>
      <c r="J24" s="31" t="n">
        <f>WORKDAY(I24,ROUND(H24*5,0)-1)</f>
        <v>46206.0</v>
      </c>
      <c r="K24" s="31"/>
      <c r="L24" s="31"/>
      <c r="M24" s="32" t="str">
        <f>IF(OR(ISBLANK(K24),ISBLANK(L24)),"",NETWORKDAYS(K24,L24)/5)</f>
        <v/>
      </c>
      <c r="N24" s="33"/>
      <c r="O24" s="25" t="str">
        <f>IF($N24&gt;=1,"Completed",
 IF($N24=0,"Not Started",
 "In Progress"))</f>
        <v>Not Started</v>
      </c>
      <c r="P24" s="25" t="str">
        <f>IF($N24&gt;=1,
    IF($M24&gt;$K24,"Delayed","On Track"),
 IF(TODAY()&lt;$J24,
    "On Track",
 IF(AND($N24=0,TODAY()&gt;$K24),
    "Delayed",
 IF(AND($L24&lt;&gt;"",$L24&gt;$J24),
    "At Risk",
 IF(TODAY()&gt;$K24,
    "Delayed",
 "On Track")))))</f>
        <v>Delayed</v>
      </c>
      <c r="Q24" s="53" t="s">
        <v>38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X24" s="36"/>
      <c r="BY24" s="36"/>
      <c r="BZ24" s="36"/>
      <c r="CA24" s="36"/>
      <c r="CB24" s="36"/>
      <c r="CC24" s="36"/>
      <c r="CD24" s="36"/>
    </row>
    <row r="25">
      <c r="A25" s="25" t="n">
        <v>18.0</v>
      </c>
      <c r="B25" s="26" t="s">
        <v>33</v>
      </c>
      <c r="C25" s="27" t="s">
        <v>56</v>
      </c>
      <c r="D25" s="28" t="s">
        <v>66</v>
      </c>
      <c r="E25" s="28" t="s">
        <v>67</v>
      </c>
      <c r="F25" s="29" t="s">
        <v>68</v>
      </c>
      <c r="G25" s="25" t="s">
        <v>38</v>
      </c>
      <c r="H25" s="30" t="n">
        <v>3.0</v>
      </c>
      <c r="I25" s="31" t="n">
        <v>46188.0</v>
      </c>
      <c r="J25" s="31" t="n">
        <f>WORKDAY(I25,ROUND(H25*5,0)-1)</f>
        <v>46206.0</v>
      </c>
      <c r="K25" s="31"/>
      <c r="L25" s="31"/>
      <c r="M25" s="32" t="str">
        <f>IF(OR(ISBLANK(K25),ISBLANK(L25)),"",NETWORKDAYS(K25,L25)/5)</f>
        <v/>
      </c>
      <c r="N25" s="33"/>
      <c r="O25" s="25" t="str">
        <f>IF($N25&gt;=1,"Completed",
 IF($N25=0,"Not Started",
 "In Progress"))</f>
        <v>Not Started</v>
      </c>
      <c r="P25" s="25" t="str">
        <f>IF($N25&gt;=1,
    IF($M25&gt;$K25,"Delayed","On Track"),
 IF(TODAY()&lt;$J25,
    "On Track",
 IF(AND($N25=0,TODAY()&gt;$K25),
    "Delayed",
 IF(AND($L25&lt;&gt;"",$L25&gt;$J25),
    "At Risk",
 IF(TODAY()&gt;$K25,
    "Delayed",
 "On Track")))))</f>
        <v>Delayed</v>
      </c>
      <c r="Q25" s="54" t="s">
        <v>38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X25" s="36"/>
      <c r="BY25" s="36"/>
      <c r="BZ25" s="36"/>
      <c r="CA25" s="36"/>
      <c r="CB25" s="36"/>
      <c r="CC25" s="36"/>
      <c r="CD25" s="36"/>
    </row>
    <row r="26">
      <c r="A26" s="25" t="n">
        <v>19.0</v>
      </c>
      <c r="B26" s="26" t="s">
        <v>33</v>
      </c>
      <c r="C26" s="27" t="s">
        <v>56</v>
      </c>
      <c r="D26" s="28" t="s">
        <v>66</v>
      </c>
      <c r="E26" s="28" t="s">
        <v>67</v>
      </c>
      <c r="F26" s="29" t="s">
        <v>69</v>
      </c>
      <c r="G26" s="25" t="s">
        <v>38</v>
      </c>
      <c r="H26" s="30" t="n">
        <v>3.0</v>
      </c>
      <c r="I26" s="31" t="n">
        <v>46188.0</v>
      </c>
      <c r="J26" s="31" t="n">
        <f>WORKDAY(I26,ROUND(H26*5,0)-1)</f>
        <v>46206.0</v>
      </c>
      <c r="K26" s="31"/>
      <c r="L26" s="31"/>
      <c r="M26" s="32" t="str">
        <f>IF(OR(ISBLANK(K26),ISBLANK(L26)),"",NETWORKDAYS(K26,L26)/5)</f>
        <v/>
      </c>
      <c r="N26" s="33"/>
      <c r="O26" s="25" t="str">
        <f>IF($N26&gt;=1,"Completed",
 IF($N26=0,"Not Started",
 "In Progress"))</f>
        <v>Not Started</v>
      </c>
      <c r="P26" s="25" t="str">
        <f>IF($N26&gt;=1,
    IF($M26&gt;$K26,"Delayed","On Track"),
 IF(TODAY()&lt;$J26,
    "On Track",
 IF(AND($N26=0,TODAY()&gt;$K26),
    "Delayed",
 IF(AND($L26&lt;&gt;"",$L26&gt;$J26),
    "At Risk",
 IF(TODAY()&gt;$K26,
    "Delayed",
 "On Track")))))</f>
        <v>Delayed</v>
      </c>
      <c r="Q26" s="55" t="s">
        <v>38</v>
      </c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X26" s="36"/>
      <c r="BY26" s="36"/>
      <c r="BZ26" s="36"/>
      <c r="CA26" s="36"/>
      <c r="CB26" s="36"/>
      <c r="CC26" s="36"/>
      <c r="CD26" s="36"/>
    </row>
    <row r="27">
      <c r="A27" s="25" t="n">
        <v>20.0</v>
      </c>
      <c r="B27" s="26" t="s">
        <v>33</v>
      </c>
      <c r="C27" s="27" t="s">
        <v>56</v>
      </c>
      <c r="D27" s="28" t="s">
        <v>70</v>
      </c>
      <c r="E27" s="28" t="s">
        <v>71</v>
      </c>
      <c r="F27" s="29" t="s">
        <v>72</v>
      </c>
      <c r="G27" s="25" t="s">
        <v>38</v>
      </c>
      <c r="H27" s="30" t="n">
        <v>3.0</v>
      </c>
      <c r="I27" s="31" t="n">
        <v>46188.0</v>
      </c>
      <c r="J27" s="31" t="n">
        <f>WORKDAY(I27,ROUND(H27*5,0)-1)</f>
        <v>46206.0</v>
      </c>
      <c r="K27" s="31"/>
      <c r="L27" s="31"/>
      <c r="M27" s="32" t="str">
        <f>IF(OR(ISBLANK(K27),ISBLANK(L27)),"",NETWORKDAYS(K27,L27)/5)</f>
        <v/>
      </c>
      <c r="N27" s="33"/>
      <c r="O27" s="25" t="str">
        <f>IF($N27&gt;=1,"Completed",
 IF($N27=0,"Not Started",
 "In Progress"))</f>
        <v>Not Started</v>
      </c>
      <c r="P27" s="25" t="str">
        <f>IF($N27&gt;=1,
    IF($M27&gt;$K27,"Delayed","On Track"),
 IF(TODAY()&lt;$J27,
    "On Track",
 IF(AND($N27=0,TODAY()&gt;$K27),
    "Delayed",
 IF(AND($L27&lt;&gt;"",$L27&gt;$J27),
    "At Risk",
 IF(TODAY()&gt;$K27,
    "Delayed",
 "On Track")))))</f>
        <v>Delayed</v>
      </c>
      <c r="Q27" s="56" t="s">
        <v>38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X27" s="36"/>
      <c r="BY27" s="36"/>
      <c r="BZ27" s="36"/>
      <c r="CA27" s="36"/>
      <c r="CB27" s="36"/>
      <c r="CC27" s="36"/>
      <c r="CD27" s="36"/>
    </row>
    <row r="28">
      <c r="A28" s="25" t="n">
        <v>21.0</v>
      </c>
      <c r="B28" s="26" t="s">
        <v>33</v>
      </c>
      <c r="C28" s="27" t="s">
        <v>56</v>
      </c>
      <c r="D28" s="28" t="s">
        <v>70</v>
      </c>
      <c r="E28" s="28" t="s">
        <v>71</v>
      </c>
      <c r="F28" s="29" t="s">
        <v>73</v>
      </c>
      <c r="G28" s="25" t="s">
        <v>38</v>
      </c>
      <c r="H28" s="30" t="n">
        <v>3.0</v>
      </c>
      <c r="I28" s="31" t="n">
        <v>46188.0</v>
      </c>
      <c r="J28" s="31" t="n">
        <f>WORKDAY(I28,ROUND(H28*5,0)-1)</f>
        <v>46206.0</v>
      </c>
      <c r="K28" s="31"/>
      <c r="L28" s="31"/>
      <c r="M28" s="32" t="str">
        <f>IF(OR(ISBLANK(K28),ISBLANK(L28)),"",NETWORKDAYS(K28,L28)/5)</f>
        <v/>
      </c>
      <c r="N28" s="33"/>
      <c r="O28" s="25" t="str">
        <f>IF($N28&gt;=1,"Completed",
 IF($N28=0,"Not Started",
 "In Progress"))</f>
        <v>Not Started</v>
      </c>
      <c r="P28" s="25" t="str">
        <f>IF($N28&gt;=1,
    IF($M28&gt;$K28,"Delayed","On Track"),
 IF(TODAY()&lt;$J28,
    "On Track",
 IF(AND($N28=0,TODAY()&gt;$K28),
    "Delayed",
 IF(AND($L28&lt;&gt;"",$L28&gt;$J28),
    "At Risk",
 IF(TODAY()&gt;$K28,
    "Delayed",
 "On Track")))))</f>
        <v>Delayed</v>
      </c>
      <c r="Q28" s="57" t="s">
        <v>38</v>
      </c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X28" s="36"/>
      <c r="BY28" s="36"/>
      <c r="BZ28" s="36"/>
      <c r="CA28" s="36"/>
      <c r="CB28" s="36"/>
      <c r="CC28" s="36"/>
      <c r="CD28" s="36"/>
    </row>
    <row r="29">
      <c r="A29" s="25" t="n">
        <v>22.0</v>
      </c>
      <c r="B29" s="26" t="s">
        <v>33</v>
      </c>
      <c r="C29" s="27" t="s">
        <v>56</v>
      </c>
      <c r="D29" s="28" t="s">
        <v>70</v>
      </c>
      <c r="E29" s="28" t="s">
        <v>71</v>
      </c>
      <c r="F29" s="29" t="s">
        <v>74</v>
      </c>
      <c r="G29" s="25" t="s">
        <v>38</v>
      </c>
      <c r="H29" s="30" t="n">
        <v>3.0</v>
      </c>
      <c r="I29" s="31" t="n">
        <v>46188.0</v>
      </c>
      <c r="J29" s="31" t="n">
        <f>WORKDAY(I29,ROUND(H29*5,0)-1)</f>
        <v>46206.0</v>
      </c>
      <c r="K29" s="31"/>
      <c r="L29" s="31"/>
      <c r="M29" s="32" t="str">
        <f>IF(OR(ISBLANK(K29),ISBLANK(L29)),"",NETWORKDAYS(K29,L29)/5)</f>
        <v/>
      </c>
      <c r="N29" s="33"/>
      <c r="O29" s="25" t="str">
        <f>IF($N29&gt;=1,"Completed",
 IF($N29=0,"Not Started",
 "In Progress"))</f>
        <v>Not Started</v>
      </c>
      <c r="P29" s="25" t="str">
        <f>IF($N29&gt;=1,
    IF($M29&gt;$K29,"Delayed","On Track"),
 IF(TODAY()&lt;$J29,
    "On Track",
 IF(AND($N29=0,TODAY()&gt;$K29),
    "Delayed",
 IF(AND($L29&lt;&gt;"",$L29&gt;$J29),
    "At Risk",
 IF(TODAY()&gt;$K29,
    "Delayed",
 "On Track")))))</f>
        <v>Delayed</v>
      </c>
      <c r="Q29" s="58" t="s">
        <v>38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X29" s="36"/>
      <c r="BY29" s="36"/>
      <c r="BZ29" s="36"/>
      <c r="CA29" s="36"/>
      <c r="CB29" s="36"/>
      <c r="CC29" s="36"/>
      <c r="CD29" s="36"/>
    </row>
    <row r="30">
      <c r="A30" s="25" t="n">
        <v>23.0</v>
      </c>
      <c r="B30" s="26" t="s">
        <v>33</v>
      </c>
      <c r="C30" s="27" t="s">
        <v>56</v>
      </c>
      <c r="D30" s="28" t="s">
        <v>75</v>
      </c>
      <c r="E30" s="28" t="s">
        <v>76</v>
      </c>
      <c r="F30" s="29" t="s">
        <v>77</v>
      </c>
      <c r="G30" s="25" t="s">
        <v>38</v>
      </c>
      <c r="H30" s="30" t="n">
        <v>2.0</v>
      </c>
      <c r="I30" s="31" t="n">
        <v>46202.0</v>
      </c>
      <c r="J30" s="31" t="n">
        <f>WORKDAY(I30,ROUND(H30*5,0)-1)</f>
        <v>46213.0</v>
      </c>
      <c r="K30" s="31"/>
      <c r="L30" s="31"/>
      <c r="M30" s="32" t="str">
        <f>IF(OR(ISBLANK(K30),ISBLANK(L30)),"",NETWORKDAYS(K30,L30)/5)</f>
        <v/>
      </c>
      <c r="N30" s="33"/>
      <c r="O30" s="25" t="str">
        <f>IF($N30&gt;=1,"Completed",
 IF($N30=0,"Not Started",
 "In Progress"))</f>
        <v>Not Started</v>
      </c>
      <c r="P30" s="25" t="str">
        <f>IF($N30&gt;=1,
    IF($M30&gt;$K30,"Delayed","On Track"),
 IF(TODAY()&lt;$J30,
    "On Track",
 IF(AND($N30=0,TODAY()&gt;$K30),
    "Delayed",
 IF(AND($L30&lt;&gt;"",$L30&gt;$J30),
    "At Risk",
 IF(TODAY()&gt;$K30,
    "Delayed",
 "On Track")))))</f>
        <v>Delayed</v>
      </c>
      <c r="Q30" s="59" t="s">
        <v>38</v>
      </c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X30" s="36"/>
      <c r="BY30" s="36"/>
      <c r="BZ30" s="36"/>
      <c r="CA30" s="36"/>
      <c r="CB30" s="36"/>
      <c r="CC30" s="36"/>
      <c r="CD30" s="36"/>
    </row>
    <row r="31">
      <c r="A31" s="25" t="n">
        <v>24.0</v>
      </c>
      <c r="B31" s="26" t="s">
        <v>33</v>
      </c>
      <c r="C31" s="27" t="s">
        <v>56</v>
      </c>
      <c r="D31" s="28" t="s">
        <v>75</v>
      </c>
      <c r="E31" s="28" t="s">
        <v>78</v>
      </c>
      <c r="F31" s="29" t="s">
        <v>79</v>
      </c>
      <c r="G31" s="25" t="s">
        <v>38</v>
      </c>
      <c r="H31" s="30" t="n">
        <v>2.0</v>
      </c>
      <c r="I31" s="31" t="n">
        <v>46202.0</v>
      </c>
      <c r="J31" s="31" t="n">
        <f>WORKDAY(I31,ROUND(H31*5,0)-1)</f>
        <v>46213.0</v>
      </c>
      <c r="K31" s="31"/>
      <c r="L31" s="31"/>
      <c r="M31" s="32" t="str">
        <f>IF(OR(ISBLANK(K31),ISBLANK(L31)),"",NETWORKDAYS(K31,L31)/5)</f>
        <v/>
      </c>
      <c r="N31" s="33"/>
      <c r="O31" s="25" t="str">
        <f>IF($N31&gt;=1,"Completed",
 IF($N31=0,"Not Started",
 "In Progress"))</f>
        <v>Not Started</v>
      </c>
      <c r="P31" s="25" t="str">
        <f>IF($N31&gt;=1,
    IF($M31&gt;$K31,"Delayed","On Track"),
 IF(TODAY()&lt;$J31,
    "On Track",
 IF(AND($N31=0,TODAY()&gt;$K31),
    "Delayed",
 IF(AND($L31&lt;&gt;"",$L31&gt;$J31),
    "At Risk",
 IF(TODAY()&gt;$K31,
    "Delayed",
 "On Track")))))</f>
        <v>Delayed</v>
      </c>
      <c r="Q31" s="60" t="s">
        <v>38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X31" s="36"/>
      <c r="BY31" s="36"/>
      <c r="BZ31" s="36"/>
      <c r="CA31" s="36"/>
      <c r="CB31" s="36"/>
      <c r="CC31" s="36"/>
      <c r="CD31" s="36"/>
    </row>
    <row r="32">
      <c r="A32" s="25" t="n">
        <v>25.0</v>
      </c>
      <c r="B32" s="26" t="s">
        <v>33</v>
      </c>
      <c r="C32" s="27" t="s">
        <v>56</v>
      </c>
      <c r="D32" s="28" t="s">
        <v>75</v>
      </c>
      <c r="E32" s="28" t="s">
        <v>78</v>
      </c>
      <c r="F32" s="29" t="s">
        <v>80</v>
      </c>
      <c r="G32" s="25" t="s">
        <v>38</v>
      </c>
      <c r="H32" s="30" t="n">
        <v>2.0</v>
      </c>
      <c r="I32" s="31" t="n">
        <v>46202.0</v>
      </c>
      <c r="J32" s="31" t="n">
        <f>WORKDAY(I32,ROUND(H32*5,0)-1)</f>
        <v>46213.0</v>
      </c>
      <c r="K32" s="31"/>
      <c r="L32" s="31"/>
      <c r="M32" s="32" t="str">
        <f>IF(OR(ISBLANK(K32),ISBLANK(L32)),"",NETWORKDAYS(K32,L32)/5)</f>
        <v/>
      </c>
      <c r="N32" s="33"/>
      <c r="O32" s="25" t="str">
        <f>IF($N32&gt;=1,"Completed",
 IF($N32=0,"Not Started",
 "In Progress"))</f>
        <v>Not Started</v>
      </c>
      <c r="P32" s="25" t="str">
        <f>IF($N32&gt;=1,
    IF($M32&gt;$K32,"Delayed","On Track"),
 IF(TODAY()&lt;$J32,
    "On Track",
 IF(AND($N32=0,TODAY()&gt;$K32),
    "Delayed",
 IF(AND($L32&lt;&gt;"",$L32&gt;$J32),
    "At Risk",
 IF(TODAY()&gt;$K32,
    "Delayed",
 "On Track")))))</f>
        <v>Delayed</v>
      </c>
      <c r="Q32" s="61" t="s">
        <v>38</v>
      </c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X32" s="36"/>
      <c r="BY32" s="36"/>
      <c r="BZ32" s="36"/>
      <c r="CA32" s="36"/>
      <c r="CB32" s="36"/>
      <c r="CC32" s="36"/>
      <c r="CD32" s="36"/>
    </row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1:P1"/>
    <mergeCell ref="A2:C2"/>
    <mergeCell ref="D2:P2"/>
    <mergeCell ref="R2:Y2"/>
    <mergeCell ref="Z2:AE2"/>
    <mergeCell ref="AF2:BU2"/>
    <mergeCell ref="A3:C3"/>
    <mergeCell ref="D3:P3"/>
    <mergeCell ref="R3:Y3"/>
    <mergeCell ref="Z3:AE3"/>
    <mergeCell ref="AF3:BU3"/>
    <mergeCell ref="A4:C4"/>
    <mergeCell ref="D4:P4"/>
    <mergeCell ref="R4:BU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R5:X5"/>
    <mergeCell ref="Y5:AE5"/>
    <mergeCell ref="AF5:AL5"/>
    <mergeCell ref="AM5:AS5"/>
    <mergeCell ref="AT5:AZ5"/>
    <mergeCell ref="BA5:BG5"/>
    <mergeCell ref="BH5:BN5"/>
    <mergeCell ref="BO5:BU5"/>
    <mergeCell ref="BX8:CD8"/>
  </mergeCells>
  <conditionalFormatting sqref="P8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R6:BU8">
    <cfRule type="expression" priority="11" aboveAverage="0" equalAverage="0" bottom="0" percent="0" rank="0" text="" dxfId="9">
      <formula>AND(TODAY()&gt;=R$6, TODAY()&lt;S$6)</formula>
    </cfRule>
  </conditionalFormatting>
  <conditionalFormatting sqref="R8:BU8">
    <cfRule type="expression" priority="12" aboveAverage="0" equalAverage="0" bottom="0" percent="0" rank="0" text="" dxfId="10">
      <formula>AND(task_start&lt;=R$6,ROUNDDOWN((task_end-task_start+1)*task_progress,0)+task_start-1&gt;=R$6)</formula>
    </cfRule>
    <cfRule type="expression" priority="13" aboveAverage="0" equalAverage="0" bottom="0" percent="0" rank="0" text="" dxfId="11">
      <formula>AND(task_end&gt;=R$6,task_start&lt;S$6)</formula>
    </cfRule>
  </conditionalFormatting>
  <conditionalFormatting sqref="N8">
    <cfRule type="dataBar" priority="14">
      <dataBar showValue="1" minLength="10" maxLength="90">
        <cfvo type="min" val="0"/>
        <cfvo type="max" val="0"/>
        <color rgb="FF4E95D9"/>
      </dataBar>
      <extLst>
        <ext uri="{B025F937-C7B1-47D3-B67F-A62EFF666E3E}">
          <x14:id>{47D0D360-C06B-4C7C-94E7-971D4A244FDB}</x14:id>
        </ext>
      </extLst>
    </cfRule>
  </conditionalFormatting>
  <conditionalFormatting sqref="C8">
    <cfRule type="expression" priority="15" aboveAverage="0" equalAverage="0" bottom="0" percent="0" rank="0" text="" dxfId="12">
      <formula>AND($B8&lt;&gt;"", COUNTIFS($B$8:$B$103,$B8,$O$8:$O$103,"Delayed")=0, COUNTIFS($B$8:$B$103,$B8,$O$8:$O$103,"At Risk")&gt;0)</formula>
    </cfRule>
    <cfRule type="expression" priority="16" aboveAverage="0" equalAverage="0" bottom="0" percent="0" rank="0" text="" dxfId="13">
      <formula>AND($B8&lt;&gt;"", COUNTIFS($B$8:$B$103,$B8,$O$8:$O$103,"Delayed")&gt;0)</formula>
    </cfRule>
    <cfRule type="expression" priority="17" aboveAverage="0" equalAverage="0" bottom="0" percent="0" rank="0" text="" dxfId="14">
      <formula>AND($B8&lt;&gt;"", COUNTIFS($B$8:$B$103,$B8,$O$8:$O$103,"Delayed")=0, COUNTIFS($B$8:$B$103,$B8,$O$8:$O$103,"At Risk")=0, COUNTIFS($B$8:$B$103,$B8,$O$8:$O$103,"In Progress")&gt;0)</formula>
    </cfRule>
    <cfRule type="expression" priority="18" aboveAverage="0" equalAverage="0" bottom="0" percent="0" rank="0" text="" dxfId="15">
      <formula>AND($B8&lt;&gt;"",COUNTIFS($B$8:$B$103,$B8,$O$8:$O$103,"&lt;&gt;Completed")=0)</formula>
    </cfRule>
  </conditionalFormatting>
  <conditionalFormatting sqref="D8">
    <cfRule type="expression" priority="19" aboveAverage="0" equalAverage="0" bottom="0" percent="0" rank="0" text="" dxfId="16">
      <formula>AND($D8&lt;&gt;"", COUNTIFS($D$8:$D$103,$D8,$O$8:$O$103,"Delayed")=0, COUNTIFS($D$8:$D$103,$D8,$O$8:$O$103,"At Risk")&gt;0)</formula>
    </cfRule>
    <cfRule type="expression" priority="20" aboveAverage="0" equalAverage="0" bottom="0" percent="0" rank="0" text="" dxfId="17">
      <formula>AND($D8&lt;&gt;"",COUNTIFS($D$8:$D$103,$D8,$O$8:$O$103,"Delayed")&gt;0)</formula>
    </cfRule>
    <cfRule type="expression" priority="21" aboveAverage="0" equalAverage="0" bottom="0" percent="0" rank="0" text="" dxfId="18">
      <formula>AND($D8&lt;&gt;"", COUNTIFS($D$8:$D$103,$D8,$O$8:$O$103,"Delayed")=0, COUNTIFS($D$8:$D$103,$D8,$O$8:$O$103,"In Progress")&gt;0)</formula>
    </cfRule>
    <cfRule type="expression" priority="22" aboveAverage="0" equalAverage="0" bottom="0" percent="0" rank="0" text="" dxfId="19">
      <formula>AND($D8&lt;&gt;"",COUNTIFS($D$8:$D$103,$D8,$O$8:$O$103,"&lt;&gt;Completed")=0)</formula>
    </cfRule>
  </conditionalFormatting>
  <conditionalFormatting sqref="E8">
    <cfRule type="expression" priority="23" aboveAverage="0" equalAverage="0" bottom="0" percent="0" rank="0" text="" dxfId="20">
      <formula>AND($E8&lt;&gt;"",COUNTIFS($E$8:$E$103,$E8,$O$8:$O$103,"At Risk")&gt;0)</formula>
    </cfRule>
    <cfRule type="expression" priority="24" aboveAverage="0" equalAverage="0" bottom="0" percent="0" rank="0" text="" dxfId="21">
      <formula>AND($E8&lt;&gt;"",COUNTIFS($E$8:$E$103,$E8,$O$8:$O$103,"Delayed")&gt;0)</formula>
    </cfRule>
    <cfRule type="expression" priority="25" aboveAverage="0" equalAverage="0" bottom="0" percent="0" rank="0" text="" dxfId="22">
      <formula>AND($E8&lt;&gt;"", COUNTIFS($E$8:$E$103,$E8,$O$8:$O$103,"In Progress")&gt;0, COUNTIFS($E$8:$E$103,$E8,$O$8:$O$103,"Completed")&lt;COUNTIFS($E$8:$E$103,$E8,$F$8:$F$103,"&lt;&gt;"))</formula>
    </cfRule>
    <cfRule type="expression" priority="26" aboveAverage="0" equalAverage="0" bottom="0" percent="0" rank="0" text="" dxfId="23">
      <formula>AND($E8&lt;&gt;"",COUNTIFS($E$8:$E$103,$E8,$O$8:$O$103,"&lt;&gt;Completed")=0)</formula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legacyDrawing r:id="rId2"/>
  <extLst>
    <ext uri="{78C0D931-6437-407d-A8EE-F0AAD7539E65}">
      <x14:conditionalFormattings>
        <x14:conditionalFormatting xmlns:xm="http://schemas.microsoft.com/office/excel/2006/main">
          <x14:cfRule type="dataBar" id="{47D0D360-C06B-4C7C-94E7-971D4A244FD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2026-07-06T15:10:53Z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