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4" sheetId="1" state="visible" r:id="rId3"/>
    <sheet name="Project schedule" sheetId="2" state="visible" r:id="rId4"/>
    <sheet name="Sheet1" sheetId="3" state="visible" r:id="rId5"/>
  </sheets>
  <definedNames>
    <definedName function="false" hidden="false" localSheetId="1" name="_xlnm.Print_Titles" vbProcedure="false">'Project schedule'!$5:$7</definedName>
    <definedName function="false" hidden="false" name="Actual_End" vbProcedure="false">'Project schedule'!$L$8</definedName>
    <definedName function="false" hidden="false" name="Display_Week" vbProcedure="false">'Project schedule'!$Z$3</definedName>
    <definedName function="false" hidden="false" name="Planned_End" vbProcedure="false">'Project schedule'!$J$8</definedName>
    <definedName function="false" hidden="false" name="Progress" vbProcedure="false">'Project schedule'!$N$8</definedName>
    <definedName function="false" hidden="false" name="Project_Start" vbProcedure="false">'Project schedule'!$Z$2</definedName>
    <definedName function="false" hidden="false" localSheetId="1" name="task_end" vbProcedure="false">'Project schedule'!$L1</definedName>
    <definedName function="false" hidden="false" localSheetId="1" name="task_progress" vbProcedure="false">'Project schedule'!$E1</definedName>
    <definedName function="false" hidden="false" localSheetId="1" name="task_start" vbProcedure="false">'Project schedule'!$K1</definedName>
    <definedName function="false" hidden="false" localSheetId="1" name="today" vbProcedure="false">TODAY()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<sst xmlns="http://schemas.openxmlformats.org/spreadsheetml/2006/main" count="62" uniqueCount="44">
  <si>
    <t xml:space="preserve">Sr. No.</t>
  </si>
  <si>
    <t xml:space="preserve">Milestone</t>
  </si>
  <si>
    <t xml:space="preserve">Task</t>
  </si>
  <si>
    <t xml:space="preserve">Sub-Task</t>
  </si>
  <si>
    <t xml:space="preserve">Activity</t>
  </si>
  <si>
    <t xml:space="preserve">(empty)</t>
  </si>
  <si>
    <t xml:space="preserve">Project Initiation &amp; Governance</t>
  </si>
  <si>
    <t xml:space="preserve">Project Kickoff</t>
  </si>
  <si>
    <t xml:space="preserve">Kickoff Meeting</t>
  </si>
  <si>
    <t xml:space="preserve">Introduce stakeholders</t>
  </si>
  <si>
    <t xml:space="preserve">Total Result</t>
  </si>
  <si>
    <t xml:space="preserve">Novillex Technologies Pvt Ltd.</t>
  </si>
  <si>
    <t xml:space="preserve">Name of Bank:</t>
  </si>
  <si>
    <t xml:space="preserve">Deogiri Nagari Sahakari Bank Ltd.,</t>
  </si>
  <si>
    <t xml:space="preserve">Project Start Date</t>
  </si>
  <si>
    <t xml:space="preserve">Name of Project:</t>
  </si>
  <si>
    <t xml:space="preserve">Deogiri Sarathi</t>
  </si>
  <si>
    <t xml:space="preserve">Display week:</t>
  </si>
  <si>
    <t xml:space="preserve">Project Manager:</t>
  </si>
  <si>
    <t xml:space="preserve">Manoj Kulkarni / Pranav Kashilkar</t>
  </si>
  <si>
    <t xml:space="preserve">Phase</t>
  </si>
  <si>
    <t xml:space="preserve">Owner</t>
  </si>
  <si>
    <t xml:space="preserve">Estimated Period 
(in week)</t>
  </si>
  <si>
    <t xml:space="preserve">Planned Start Date</t>
  </si>
  <si>
    <t xml:space="preserve">Planned 
End Date</t>
  </si>
  <si>
    <t xml:space="preserve">Actual 
Start Date</t>
  </si>
  <si>
    <t xml:space="preserve">Actual 
End Date</t>
  </si>
  <si>
    <t xml:space="preserve">Actual
Period
(in week)</t>
  </si>
  <si>
    <t xml:space="preserve">Progress</t>
  </si>
  <si>
    <t xml:space="preserve">Execution Status</t>
  </si>
  <si>
    <t xml:space="preserve">Schedule Health</t>
  </si>
  <si>
    <t xml:space="preserve">Phase-1</t>
  </si>
  <si>
    <t xml:space="preserve">Font</t>
  </si>
  <si>
    <t xml:space="preserve">Cambria</t>
  </si>
  <si>
    <t xml:space="preserve">Chart/Graph</t>
  </si>
  <si>
    <t xml:space="preserve">Requirement</t>
  </si>
  <si>
    <t xml:space="preserve">Task wise Bar chart</t>
  </si>
  <si>
    <t xml:space="preserve">Planned vs Achieved</t>
  </si>
  <si>
    <t xml:space="preserve">Task wise Doughnut chart</t>
  </si>
  <si>
    <t xml:space="preserve">Doughnut Graft with Percentage</t>
  </si>
  <si>
    <t xml:space="preserve">Phase Wise Bar Chart</t>
  </si>
  <si>
    <t xml:space="preserve">Phase wise Doughnut chart</t>
  </si>
  <si>
    <t xml:space="preserve">Overall Bar chart</t>
  </si>
  <si>
    <t xml:space="preserve">Overall Doughnut chart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</si>
</sst>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/d/yy;@"/>
    <numFmt numFmtId="166" formatCode="ddd&quot;, &quot;m/d/yyyy"/>
    <numFmt numFmtId="167" formatCode="[$-809]dd\ mmmm\ yyyy;@"/>
    <numFmt numFmtId="168" formatCode="d"/>
    <numFmt numFmtId="169" formatCode="[$-409]d/mmm/yy;@"/>
    <numFmt numFmtId="170" formatCode="0.0"/>
    <numFmt numFmtId="171" formatCode="0%"/>
  </numFmts>
  <fonts count="1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Cambria"/>
      <family val="1"/>
      <charset val="1"/>
    </font>
    <font>
      <sz val="12"/>
      <color theme="0"/>
      <name val="Cambria"/>
      <family val="1"/>
      <charset val="1"/>
    </font>
    <font>
      <sz val="12"/>
      <color theme="1"/>
      <name val="Cambria"/>
      <family val="1"/>
      <charset val="1"/>
    </font>
    <font>
      <sz val="11"/>
      <color theme="1"/>
      <name val="Cambria"/>
      <family val="1"/>
      <charset val="1"/>
    </font>
    <font>
      <b val="true"/>
      <sz val="14"/>
      <name val="Cambria"/>
      <family val="1"/>
      <charset val="1"/>
    </font>
    <font>
      <sz val="12"/>
      <name val="Cambria"/>
      <family val="1"/>
      <charset val="1"/>
    </font>
    <font>
      <b val="true"/>
      <sz val="12"/>
      <name val="Cambria"/>
      <family val="1"/>
      <charset val="1"/>
    </font>
    <font>
      <b val="true"/>
      <sz val="1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name val="Cambria"/>
      <family val="1"/>
      <charset val="1"/>
    </font>
    <font>
      <sz val="10"/>
      <color theme="1"/>
      <name val="Cambria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/>
        <bgColor rgb="FFF2F2F2"/>
      </patternFill>
    </fill>
    <fill>
      <patternFill patternType="solid">
        <fgColor theme="9" tint="0.3999"/>
        <bgColor rgb="FF4E95D9"/>
      </patternFill>
    </fill>
    <fill>
      <patternFill patternType="solid">
        <fgColor theme="3" tint="0.4999"/>
        <bgColor rgb="FF6BA0F2"/>
      </patternFill>
    </fill>
    <fill>
      <patternFill patternType="solid">
        <fgColor theme="8" tint="0.3999"/>
        <bgColor rgb="FFFFCC99"/>
      </patternFill>
    </fill>
    <fill>
      <patternFill patternType="solid">
        <fgColor theme="7" tint="0.7999"/>
        <bgColor rgb="FFCCFFFF"/>
      </patternFill>
    </fill>
    <fill>
      <patternFill patternType="solid">
        <fgColor theme="9" tint="0.5999"/>
        <bgColor rgb="FFA6CAEC"/>
      </patternFill>
    </fill>
    <fill>
      <patternFill patternType="solid">
        <fgColor theme="6" tint="0.5999"/>
        <bgColor rgb="FFD9D9D9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 style="medium">
        <color theme="0" tint="-0.15"/>
      </top>
      <bottom style="medium">
        <color theme="0" tint="-0.1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 diagonalUp="false" diagonalDown="false">
      <left style="thin">
        <color theme="3" tint="0.7499"/>
      </left>
      <right style="thin">
        <color theme="3" tint="0.7499"/>
      </right>
      <top/>
      <bottom style="thin">
        <color theme="3" tint="0.7499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theme="3" tint="0.7499"/>
      </left>
      <right style="thin">
        <color theme="3" tint="0.7499"/>
      </right>
      <top style="thin">
        <color theme="3" tint="0.7499"/>
      </top>
      <bottom style="thin">
        <color theme="3" tint="0.7499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false">
      <alignment horizontal="right" vertical="bottom" textRotation="0" wrapText="false" indent="1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29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0" xfId="29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1" xfId="29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2" xfId="3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3" xfId="28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3" borderId="13" xfId="28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4" xfId="3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3" fillId="0" borderId="1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8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2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9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5" fillId="0" borderId="17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5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e" xfId="20"/>
    <cellStyle name="Name" xfId="21"/>
    <cellStyle name="Pivot Table Category" xfId="22"/>
    <cellStyle name="Pivot Table Corner" xfId="23"/>
    <cellStyle name="Pivot Table Field" xfId="24"/>
    <cellStyle name="Pivot Table Value" xfId="25"/>
    <cellStyle name="Project Start" xfId="26"/>
    <cellStyle name="Task" xfId="27"/>
    <cellStyle name="zHiddenText" xfId="28"/>
    <cellStyle name="Pivot Table Title" xfId="29"/>
    <cellStyle name="Pivot Table Result" xfId="30"/>
    <cellStyle name="Excel Built-in Heading 3" xfId="31"/>
  </cellStyles>
  <dxfs count="24">
    <dxf>
      <fill>
        <patternFill>
          <bgColor rgb="FFFF8264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border diagonalUp="false" diagonalDown="false">
        <left style="thin">
          <color theme="5"/>
        </left>
        <right style="thin">
          <color theme="5"/>
        </right>
        <top/>
        <bottom/>
        <diagonal/>
      </border>
    </dxf>
    <dxf>
      <fill>
        <patternFill>
          <bgColor theme="3" tint="0.7499"/>
        </patternFill>
      </fill>
      <border diagonalUp="false" diagonalDown="false">
        <left/>
        <right/>
        <top style="thin">
          <color theme="0" tint="-0.05"/>
        </top>
        <bottom style="thin">
          <color theme="0" tint="-0.05"/>
        </bottom>
        <diagonal/>
      </border>
    </dxf>
    <dxf>
      <fill>
        <patternFill>
          <bgColor theme="3" tint="0.2499"/>
        </patternFill>
      </fill>
      <border diagonalUp="false" diagonalDown="false">
        <left/>
        <right/>
        <top style="thin">
          <color theme="0" tint="-0.05"/>
        </top>
        <bottom style="thin">
          <color theme="0" tint="-0.05"/>
        </bottom>
        <diagonal/>
      </border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D800A6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6BA0F2"/>
      <rgbColor rgb="FF993366"/>
      <rgbColor rgb="FFF2F2F2"/>
      <rgbColor rgb="FFBDFCFF"/>
      <rgbColor rgb="FF660066"/>
      <rgbColor rgb="FFFF8264"/>
      <rgbColor rgb="FF215F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BEAD7"/>
      <rgbColor rgb="FFFFEE7D"/>
      <rgbColor rgb="FFA6CAEC"/>
      <rgbColor rgb="FFFF99CC"/>
      <rgbColor rgb="FF9CC0F7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A6A6A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<Relationship Id="rId8" Type="http://schemas.openxmlformats.org/officeDocument/2006/relationships/customXml" Target="../customXml/item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" createdVersion="3">
  <cacheSource type="worksheet">
    <worksheetSource ref="A5:O105" sheet="Project schedule"/>
  </cacheSource>
  <cacheFields count="15">
    <cacheField name="Sr. No." numFmtId="0">
      <sharedItems containsString="0" containsBlank="1" containsNumber="1" containsInteger="1" minValue="1" maxValue="1" count="2">
        <n v="1"/>
        <m/>
      </sharedItems>
    </cacheField>
    <cacheField name="Phase" numFmtId="0">
      <sharedItems containsBlank="1" count="2">
        <s v="Phase-1"/>
        <m/>
      </sharedItems>
    </cacheField>
    <cacheField name="Milestone" numFmtId="0">
      <sharedItems containsBlank="1" count="2">
        <s v="Project Initiation &amp; Governance"/>
        <m/>
      </sharedItems>
    </cacheField>
    <cacheField name="Task" numFmtId="0">
      <sharedItems containsBlank="1" count="2">
        <s v="Project Kickoff"/>
        <m/>
      </sharedItems>
    </cacheField>
    <cacheField name="Sub-Task" numFmtId="0">
      <sharedItems containsBlank="1" count="2">
        <s v="Kickoff Meeting"/>
        <m/>
      </sharedItems>
    </cacheField>
    <cacheField name="Activity" numFmtId="0">
      <sharedItems containsBlank="1" count="2">
        <s v="Introduce stakeholders"/>
        <m/>
      </sharedItems>
    </cacheField>
    <cacheField name="Owner" numFmtId="0">
      <sharedItems containsString="0" containsBlank="1" count="1">
        <m/>
      </sharedItems>
    </cacheField>
    <cacheField name="Estimated Period &#10;(in week)" numFmtId="0">
      <sharedItems containsString="0" containsBlank="1" containsNumber="1" minValue="0.2" maxValue="0.2" count="2">
        <n v="0.2"/>
        <m/>
      </sharedItems>
    </cacheField>
    <cacheField name="Planned Start Date" numFmtId="0">
      <sharedItems containsNonDate="0" containsDate="1" containsString="0" containsBlank="1" minDate="2026-04-15T00:00:00" maxDate="2026-04-15T00:00:00" count="2">
        <d v="2026-04-15T00:00:00"/>
        <m/>
      </sharedItems>
    </cacheField>
    <cacheField name="Planned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Start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&#10;Period&#10;(in week)" numFmtId="0">
      <sharedItems containsString="0" containsBlank="1" containsNumber="1" minValue="0.2" maxValue="0.2" count="2">
        <n v="0.2"/>
        <m/>
      </sharedItems>
    </cacheField>
    <cacheField name="Progress" numFmtId="0">
      <sharedItems containsString="0" containsBlank="1" containsNumber="1" containsInteger="1" minValue="1" maxValue="1" count="2">
        <n v="1"/>
        <m/>
      </sharedItems>
    </cacheField>
    <cacheField name="Execution Status" numFmtId="0">
      <sharedItems containsBlank="1" count="2">
        <s v="Completed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1"/>
    <x v="1"/>
    <x v="1"/>
    <x v="1"/>
    <x v="1"/>
    <x v="1"/>
    <x v="0"/>
    <x v="1"/>
    <x v="1"/>
    <x v="1"/>
    <x v="1"/>
    <x v="1"/>
    <x v="1"/>
    <x v="1"/>
    <x v="1"/>
  </r>
  <r>
    <x v="1"/>
    <x v="1"/>
    <x v="1"/>
    <x v="1"/>
    <x v="1"/>
    <x v="1"/>
    <x v="0"/>
    <x v="1"/>
    <x v="1"/>
    <x v="1"/>
    <x v="1"/>
    <x v="1"/>
    <x v="1"/>
    <x v="1"/>
    <x v="1"/>
  </r>
  <r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F6" firstHeaderRow="1" firstDataRow="1" firstDataCol="5"/>
  <pivotFields count="15">
    <pivotField axis="axisRow" compact="0" showAll="0" defaultSubtotal="0" outline="0">
      <items count="2">
        <item x="0"/>
        <item x="1"/>
      </items>
    </pivotField>
    <pivotField compact="0" showAll="0" outline="0"/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</pivotFields>
  <rowFields count="5">
    <field x="0"/>
    <field x="2"/>
    <field x="3"/>
    <field x="4"/>
    <field x="5"/>
  </rowFields>
  <rowItems count="3">
    <i>
      <x v="0"/>
    </i>
    <i>
      <x v="1"/>
    </i>
    <i t="grand">
      <x v="2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33.12"/>
    <col collapsed="false" customWidth="true" hidden="false" outlineLevel="0" max="3" min="3" style="1" width="22.62"/>
    <col collapsed="false" customWidth="true" hidden="false" outlineLevel="0" max="4" min="4" style="1" width="21"/>
    <col collapsed="false" customWidth="true" hidden="false" outlineLevel="0" max="5" min="5" style="1" width="40.5"/>
  </cols>
  <sheetData>
    <row r="3" customFormat="false" ht="14.25" hidden="false" customHeight="false" outlineLevel="0" collapsed="false">
      <c r="A3" s="2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</row>
    <row r="4" customFormat="false" ht="14.25" hidden="false" customHeight="false" outlineLevel="0" collapsed="false">
      <c r="A4" s="5" t="n">
        <v>1</v>
      </c>
      <c r="B4" s="6" t="s">
        <v>6</v>
      </c>
      <c r="C4" s="6" t="s">
        <v>7</v>
      </c>
      <c r="D4" s="6" t="s">
        <v>8</v>
      </c>
      <c r="E4" s="6" t="s">
        <v>9</v>
      </c>
      <c r="F4" s="7"/>
    </row>
    <row r="5" customFormat="false" ht="14.25" hidden="false" customHeight="false" outlineLevel="0" collapsed="false">
      <c r="A5" s="5" t="s">
        <v>5</v>
      </c>
      <c r="B5" s="6" t="s">
        <v>5</v>
      </c>
      <c r="C5" s="6" t="s">
        <v>5</v>
      </c>
      <c r="D5" s="6" t="s">
        <v>5</v>
      </c>
      <c r="E5" s="6" t="s">
        <v>5</v>
      </c>
      <c r="F5" s="7"/>
    </row>
    <row r="6" customFormat="false" ht="14.25" hidden="false" customHeight="false" outlineLevel="0" collapsed="false">
      <c r="A6" s="8" t="s">
        <v>10</v>
      </c>
      <c r="B6" s="9"/>
      <c r="C6" s="9"/>
      <c r="D6" s="9"/>
      <c r="E6" s="10"/>
      <c r="F6" s="11"/>
    </row>
    <row r="7" customFormat="false" ht="14.25" hidden="false" customHeight="false" outlineLevel="0" collapsed="false">
      <c r="A7" s="0"/>
      <c r="B7" s="0"/>
      <c r="C7" s="0"/>
      <c r="D7" s="0"/>
      <c r="E7" s="0"/>
    </row>
    <row r="8" customFormat="false" ht="14.25" hidden="false" customHeight="false" outlineLevel="0" collapsed="false">
      <c r="A8" s="0"/>
      <c r="B8" s="0"/>
      <c r="C8" s="0"/>
      <c r="D8" s="0"/>
      <c r="E8" s="0"/>
    </row>
    <row r="9" customFormat="false" ht="14.25" hidden="false" customHeight="false" outlineLevel="0" collapsed="false">
      <c r="A9" s="0"/>
      <c r="B9" s="0"/>
      <c r="C9" s="0"/>
      <c r="D9" s="0"/>
      <c r="E9" s="0"/>
    </row>
    <row r="10" customFormat="false" ht="14.25" hidden="false" customHeight="false" outlineLevel="0" collapsed="false">
      <c r="A10" s="0"/>
      <c r="B10" s="0"/>
      <c r="C10" s="0"/>
      <c r="D10" s="0"/>
      <c r="E10" s="0"/>
    </row>
    <row r="11" customFormat="false" ht="14.25" hidden="false" customHeight="false" outlineLevel="0" collapsed="false">
      <c r="A11" s="0"/>
      <c r="B11" s="0"/>
      <c r="C11" s="0"/>
      <c r="D11" s="0"/>
      <c r="E11" s="0"/>
    </row>
    <row r="12" customFormat="false" ht="14.25" hidden="false" customHeight="false" outlineLevel="0" collapsed="false">
      <c r="A12" s="0"/>
      <c r="B12" s="0"/>
      <c r="C12" s="0"/>
      <c r="D12" s="0"/>
      <c r="E12" s="0"/>
    </row>
    <row r="13" customFormat="false" ht="14.25" hidden="false" customHeight="false" outlineLevel="0" collapsed="false">
      <c r="A13" s="0"/>
      <c r="B13" s="0"/>
      <c r="C13" s="0"/>
      <c r="D13" s="0"/>
      <c r="E13" s="0"/>
    </row>
    <row r="14" customFormat="false" ht="14.25" hidden="false" customHeight="false" outlineLevel="0" collapsed="false">
      <c r="A14" s="0"/>
      <c r="B14" s="0"/>
      <c r="C14" s="0"/>
      <c r="D14" s="0"/>
      <c r="E14" s="0"/>
    </row>
    <row r="15" customFormat="false" ht="14.25" hidden="false" customHeight="false" outlineLevel="0" collapsed="false">
      <c r="A15" s="0"/>
      <c r="B15" s="0"/>
      <c r="C15" s="0"/>
      <c r="D15" s="0"/>
      <c r="E15" s="0"/>
    </row>
    <row r="16" customFormat="false" ht="14.25" hidden="false" customHeight="false" outlineLevel="0" collapsed="false">
      <c r="A16" s="0"/>
      <c r="B16" s="0"/>
      <c r="C16" s="0"/>
      <c r="D16" s="0"/>
      <c r="E16" s="0"/>
    </row>
    <row r="17" customFormat="false" ht="14.25" hidden="false" customHeight="false" outlineLevel="0" collapsed="false">
      <c r="A17" s="0"/>
      <c r="B17" s="0"/>
      <c r="C17" s="0"/>
      <c r="D17" s="0"/>
      <c r="E17" s="0"/>
    </row>
    <row r="18" customFormat="false" ht="14.25" hidden="false" customHeight="false" outlineLevel="0" collapsed="false">
      <c r="A18" s="0"/>
      <c r="B18" s="0"/>
      <c r="C18" s="0"/>
      <c r="D18" s="0"/>
      <c r="E18" s="0"/>
    </row>
    <row r="19" customFormat="false" ht="14.25" hidden="false" customHeight="false" outlineLevel="0" collapsed="false">
      <c r="A19" s="0"/>
      <c r="B19" s="0"/>
      <c r="C19" s="0"/>
      <c r="D19" s="0"/>
      <c r="E19" s="0"/>
    </row>
    <row r="20" customFormat="false" ht="14.25" hidden="false" customHeight="false" outlineLevel="0" collapsed="false">
      <c r="A20" s="0"/>
      <c r="B20" s="0"/>
      <c r="C20" s="0"/>
      <c r="D20" s="0"/>
      <c r="E20" s="0"/>
    </row>
    <row r="21" customFormat="false" ht="14.25" hidden="false" customHeight="false" outlineLevel="0" collapsed="false">
      <c r="A21" s="0"/>
      <c r="B21" s="0"/>
      <c r="C21" s="0"/>
      <c r="D21" s="0"/>
      <c r="E21" s="0"/>
    </row>
    <row r="22" customFormat="false" ht="14.25" hidden="false" customHeight="false" outlineLevel="0" collapsed="false">
      <c r="A22" s="0"/>
      <c r="B22" s="0"/>
      <c r="C22" s="0"/>
      <c r="D22" s="0"/>
      <c r="E22" s="0"/>
    </row>
    <row r="23" customFormat="false" ht="14.25" hidden="false" customHeight="false" outlineLevel="0" collapsed="false">
      <c r="A23" s="0"/>
      <c r="B23" s="0"/>
      <c r="C23" s="0"/>
      <c r="D23" s="0"/>
      <c r="E23" s="0"/>
    </row>
    <row r="24" customFormat="false" ht="14.25" hidden="false" customHeight="false" outlineLevel="0" collapsed="false">
      <c r="A24" s="0"/>
      <c r="B24" s="0"/>
      <c r="C24" s="0"/>
      <c r="D24" s="0"/>
      <c r="E24" s="0"/>
    </row>
    <row r="25" customFormat="false" ht="14.25" hidden="false" customHeight="false" outlineLevel="0" collapsed="false">
      <c r="A25" s="0"/>
      <c r="B25" s="0"/>
      <c r="C25" s="0"/>
      <c r="D25" s="0"/>
      <c r="E25" s="0"/>
    </row>
    <row r="26" customFormat="false" ht="14.25" hidden="false" customHeight="false" outlineLevel="0" collapsed="false">
      <c r="A26" s="0"/>
      <c r="B26" s="0"/>
      <c r="C26" s="0"/>
      <c r="D26" s="0"/>
      <c r="E26" s="0"/>
    </row>
    <row r="27" customFormat="false" ht="14.25" hidden="false" customHeight="false" outlineLevel="0" collapsed="false">
      <c r="A27" s="0"/>
      <c r="B27" s="0"/>
      <c r="C27" s="0"/>
      <c r="D27" s="0"/>
      <c r="E27" s="0"/>
    </row>
    <row r="28" customFormat="false" ht="14.25" hidden="false" customHeight="false" outlineLevel="0" collapsed="false">
      <c r="A28" s="0"/>
      <c r="B28" s="0"/>
      <c r="C28" s="0"/>
      <c r="D28" s="0"/>
      <c r="E28" s="0"/>
    </row>
    <row r="29" customFormat="false" ht="14.25" hidden="false" customHeight="false" outlineLevel="0" collapsed="false">
      <c r="A29" s="0"/>
      <c r="B29" s="0"/>
      <c r="C29" s="0"/>
      <c r="D29" s="0"/>
      <c r="E29" s="0"/>
    </row>
    <row r="30" customFormat="false" ht="14.25" hidden="false" customHeight="false" outlineLevel="0" collapsed="false">
      <c r="A30" s="0"/>
      <c r="B30" s="0"/>
      <c r="C30" s="0"/>
      <c r="D30" s="0"/>
      <c r="E30" s="0"/>
    </row>
    <row r="31" customFormat="false" ht="14.25" hidden="false" customHeight="false" outlineLevel="0" collapsed="false">
      <c r="A31" s="0"/>
      <c r="B31" s="0"/>
      <c r="C31" s="0"/>
      <c r="D31" s="0"/>
      <c r="E31" s="0"/>
    </row>
    <row r="32" customFormat="false" ht="14.25" hidden="false" customHeight="false" outlineLevel="0" collapsed="false">
      <c r="A32" s="0"/>
      <c r="B32" s="0"/>
      <c r="C32" s="0"/>
      <c r="D32" s="0"/>
      <c r="E32" s="0"/>
    </row>
    <row r="33" customFormat="false" ht="14.25" hidden="false" customHeight="false" outlineLevel="0" collapsed="false">
      <c r="A33" s="0"/>
      <c r="B33" s="0"/>
      <c r="C33" s="0"/>
      <c r="D33" s="0"/>
      <c r="E33" s="0"/>
    </row>
    <row r="34" customFormat="false" ht="14.25" hidden="false" customHeight="false" outlineLevel="0" collapsed="false">
      <c r="A34" s="0"/>
      <c r="B34" s="0"/>
      <c r="C34" s="0"/>
      <c r="D34" s="0"/>
      <c r="E34" s="0"/>
    </row>
    <row r="35" customFormat="false" ht="14.25" hidden="false" customHeight="false" outlineLevel="0" collapsed="false">
      <c r="A35" s="0"/>
      <c r="B35" s="0"/>
      <c r="C35" s="0"/>
      <c r="D35" s="0"/>
      <c r="E35" s="0"/>
    </row>
    <row r="36" customFormat="false" ht="14.25" hidden="false" customHeight="false" outlineLevel="0" collapsed="false">
      <c r="A36" s="0"/>
      <c r="B36" s="0"/>
      <c r="C36" s="0"/>
      <c r="D36" s="0"/>
      <c r="E36" s="0"/>
    </row>
    <row r="37" customFormat="false" ht="14.25" hidden="false" customHeight="false" outlineLevel="0" collapsed="false">
      <c r="A37" s="0"/>
      <c r="B37" s="0"/>
      <c r="C37" s="0"/>
      <c r="D37" s="0"/>
      <c r="E37" s="0"/>
    </row>
    <row r="38" customFormat="false" ht="14.25" hidden="false" customHeight="false" outlineLevel="0" collapsed="false">
      <c r="A38" s="0"/>
      <c r="B38" s="0"/>
      <c r="C38" s="0"/>
      <c r="D38" s="0"/>
      <c r="E38" s="0"/>
    </row>
    <row r="39" customFormat="false" ht="14.25" hidden="false" customHeight="false" outlineLevel="0" collapsed="false">
      <c r="A39" s="0"/>
      <c r="B39" s="0"/>
      <c r="C39" s="0"/>
      <c r="D39" s="0"/>
      <c r="E39" s="0"/>
    </row>
    <row r="40" customFormat="false" ht="14.25" hidden="false" customHeight="false" outlineLevel="0" collapsed="false">
      <c r="A40" s="0"/>
      <c r="B40" s="0"/>
      <c r="C40" s="0"/>
      <c r="D40" s="0"/>
      <c r="E40" s="0"/>
    </row>
    <row r="41" customFormat="false" ht="14.25" hidden="false" customHeight="false" outlineLevel="0" collapsed="false">
      <c r="A41" s="0"/>
      <c r="B41" s="0"/>
      <c r="C41" s="0"/>
      <c r="D41" s="0"/>
      <c r="E41" s="0"/>
    </row>
    <row r="42" customFormat="false" ht="14.25" hidden="false" customHeight="false" outlineLevel="0" collapsed="false">
      <c r="A42" s="0"/>
      <c r="B42" s="0"/>
      <c r="C42" s="0"/>
      <c r="D42" s="0"/>
      <c r="E42" s="0"/>
    </row>
    <row r="43" customFormat="false" ht="14.25" hidden="false" customHeight="false" outlineLevel="0" collapsed="false">
      <c r="A43" s="0"/>
      <c r="B43" s="0"/>
      <c r="C43" s="0"/>
      <c r="D43" s="0"/>
      <c r="E43" s="0"/>
    </row>
    <row r="44" customFormat="false" ht="14.25" hidden="false" customHeight="false" outlineLevel="0" collapsed="false">
      <c r="A44" s="0"/>
      <c r="B44" s="0"/>
      <c r="C44" s="0"/>
      <c r="D44" s="0"/>
      <c r="E44" s="0"/>
    </row>
    <row r="45" customFormat="false" ht="14.25" hidden="false" customHeight="false" outlineLevel="0" collapsed="false">
      <c r="A45" s="0"/>
      <c r="B45" s="0"/>
      <c r="C45" s="0"/>
      <c r="D45" s="0"/>
      <c r="E45" s="0"/>
    </row>
    <row r="46" customFormat="false" ht="14.25" hidden="false" customHeight="false" outlineLevel="0" collapsed="false">
      <c r="A46" s="0"/>
      <c r="B46" s="0"/>
      <c r="C46" s="0"/>
      <c r="D46" s="0"/>
      <c r="E46" s="0"/>
    </row>
    <row r="47" customFormat="false" ht="14.25" hidden="false" customHeight="false" outlineLevel="0" collapsed="false">
      <c r="A47" s="0"/>
      <c r="B47" s="0"/>
      <c r="C47" s="0"/>
      <c r="D47" s="0"/>
      <c r="E47" s="0"/>
    </row>
    <row r="48" customFormat="false" ht="14.25" hidden="false" customHeight="false" outlineLevel="0" collapsed="false">
      <c r="A48" s="0"/>
      <c r="B48" s="0"/>
      <c r="C48" s="0"/>
      <c r="D48" s="0"/>
      <c r="E48" s="0"/>
    </row>
    <row r="49" customFormat="false" ht="14.25" hidden="false" customHeight="false" outlineLevel="0" collapsed="false">
      <c r="A49" s="0"/>
      <c r="B49" s="0"/>
      <c r="C49" s="0"/>
      <c r="D49" s="0"/>
      <c r="E49" s="0"/>
    </row>
    <row r="50" customFormat="false" ht="14.25" hidden="false" customHeight="false" outlineLevel="0" collapsed="false">
      <c r="A50" s="0"/>
      <c r="B50" s="0"/>
      <c r="C50" s="0"/>
      <c r="D50" s="0"/>
      <c r="E50" s="0"/>
    </row>
    <row r="51" customFormat="false" ht="14.25" hidden="false" customHeight="false" outlineLevel="0" collapsed="false">
      <c r="A51" s="0"/>
      <c r="B51" s="0"/>
      <c r="C51" s="0"/>
      <c r="D51" s="0"/>
      <c r="E51" s="0"/>
    </row>
    <row r="52" customFormat="false" ht="14.25" hidden="false" customHeight="false" outlineLevel="0" collapsed="false">
      <c r="A52" s="0"/>
      <c r="B52" s="0"/>
      <c r="C52" s="0"/>
      <c r="D52" s="0"/>
      <c r="E52" s="0"/>
    </row>
    <row r="53" customFormat="false" ht="14.25" hidden="false" customHeight="false" outlineLevel="0" collapsed="false">
      <c r="A53" s="0"/>
      <c r="B53" s="0"/>
      <c r="C53" s="0"/>
      <c r="D53" s="0"/>
      <c r="E53" s="0"/>
    </row>
    <row r="54" customFormat="false" ht="14.25" hidden="false" customHeight="false" outlineLevel="0" collapsed="false">
      <c r="A54" s="0"/>
      <c r="B54" s="0"/>
      <c r="C54" s="0"/>
      <c r="D54" s="0"/>
      <c r="E54" s="0"/>
    </row>
    <row r="55" customFormat="false" ht="14.25" hidden="false" customHeight="false" outlineLevel="0" collapsed="false">
      <c r="A55" s="0"/>
      <c r="B55" s="0"/>
      <c r="C55" s="0"/>
      <c r="D55" s="0"/>
      <c r="E55" s="0"/>
    </row>
    <row r="56" customFormat="false" ht="14.25" hidden="false" customHeight="false" outlineLevel="0" collapsed="false">
      <c r="A56" s="0"/>
      <c r="B56" s="0"/>
      <c r="C56" s="0"/>
      <c r="D56" s="0"/>
      <c r="E56" s="0"/>
    </row>
    <row r="57" customFormat="false" ht="14.25" hidden="false" customHeight="false" outlineLevel="0" collapsed="false">
      <c r="A57" s="0"/>
      <c r="B57" s="0"/>
      <c r="C57" s="0"/>
      <c r="D57" s="0"/>
      <c r="E57" s="0"/>
    </row>
    <row r="58" customFormat="false" ht="14.25" hidden="false" customHeight="false" outlineLevel="0" collapsed="false">
      <c r="A58" s="0"/>
      <c r="B58" s="0"/>
      <c r="C58" s="0"/>
      <c r="D58" s="0"/>
      <c r="E58" s="0"/>
    </row>
    <row r="59" customFormat="false" ht="14.25" hidden="false" customHeight="false" outlineLevel="0" collapsed="false">
      <c r="A59" s="0"/>
      <c r="B59" s="0"/>
      <c r="C59" s="0"/>
      <c r="D59" s="0"/>
      <c r="E59" s="0"/>
    </row>
    <row r="60" customFormat="false" ht="14.25" hidden="false" customHeight="false" outlineLevel="0" collapsed="false">
      <c r="A60" s="0"/>
      <c r="B60" s="0"/>
      <c r="C60" s="0"/>
      <c r="D60" s="0"/>
      <c r="E60" s="0"/>
    </row>
    <row r="61" customFormat="false" ht="14.25" hidden="false" customHeight="false" outlineLevel="0" collapsed="false">
      <c r="A61" s="0"/>
      <c r="B61" s="0"/>
      <c r="C61" s="0"/>
      <c r="D61" s="0"/>
      <c r="E61" s="0"/>
    </row>
    <row r="62" customFormat="false" ht="14.25" hidden="false" customHeight="false" outlineLevel="0" collapsed="false">
      <c r="A62" s="0"/>
      <c r="B62" s="0"/>
      <c r="C62" s="0"/>
      <c r="D62" s="0"/>
      <c r="E62" s="0"/>
    </row>
    <row r="63" customFormat="false" ht="14.25" hidden="false" customHeight="false" outlineLevel="0" collapsed="false">
      <c r="A63" s="0"/>
      <c r="B63" s="0"/>
      <c r="C63" s="0"/>
      <c r="D63" s="0"/>
      <c r="E63" s="0"/>
    </row>
    <row r="64" customFormat="false" ht="14.25" hidden="false" customHeight="false" outlineLevel="0" collapsed="false">
      <c r="A64" s="0"/>
      <c r="B64" s="0"/>
      <c r="C64" s="0"/>
      <c r="D64" s="0"/>
      <c r="E64" s="0"/>
    </row>
    <row r="65" customFormat="false" ht="14.25" hidden="false" customHeight="false" outlineLevel="0" collapsed="false">
      <c r="A65" s="0"/>
      <c r="B65" s="0"/>
      <c r="C65" s="0"/>
      <c r="D65" s="0"/>
      <c r="E65" s="0"/>
    </row>
    <row r="66" customFormat="false" ht="14.25" hidden="false" customHeight="false" outlineLevel="0" collapsed="false">
      <c r="A66" s="0"/>
      <c r="B66" s="0"/>
      <c r="C66" s="0"/>
      <c r="D66" s="0"/>
      <c r="E66" s="0"/>
    </row>
    <row r="67" customFormat="false" ht="14.25" hidden="false" customHeight="false" outlineLevel="0" collapsed="false">
      <c r="A67" s="0"/>
      <c r="B67" s="0"/>
      <c r="C67" s="0"/>
      <c r="D67" s="0"/>
      <c r="E67" s="0"/>
    </row>
    <row r="68" customFormat="false" ht="14.25" hidden="false" customHeight="false" outlineLevel="0" collapsed="false">
      <c r="A68" s="0"/>
      <c r="B68" s="0"/>
      <c r="C68" s="0"/>
      <c r="D68" s="0"/>
      <c r="E68" s="0"/>
    </row>
    <row r="69" customFormat="false" ht="14.25" hidden="false" customHeight="false" outlineLevel="0" collapsed="false">
      <c r="A69" s="0"/>
      <c r="B69" s="0"/>
      <c r="C69" s="0"/>
      <c r="D69" s="0"/>
      <c r="E69" s="0"/>
    </row>
    <row r="70" customFormat="false" ht="14.25" hidden="false" customHeight="false" outlineLevel="0" collapsed="false">
      <c r="A70" s="0"/>
      <c r="B70" s="0"/>
      <c r="C70" s="0"/>
      <c r="D70" s="0"/>
      <c r="E70" s="0"/>
    </row>
    <row r="71" customFormat="false" ht="14.25" hidden="false" customHeight="false" outlineLevel="0" collapsed="false">
      <c r="A71" s="0"/>
      <c r="B71" s="0"/>
      <c r="C71" s="0"/>
      <c r="D71" s="0"/>
      <c r="E71" s="0"/>
    </row>
    <row r="72" customFormat="false" ht="14.25" hidden="false" customHeight="false" outlineLevel="0" collapsed="false">
      <c r="A72" s="0"/>
      <c r="B72" s="0"/>
      <c r="C72" s="0"/>
      <c r="D72" s="0"/>
      <c r="E72" s="0"/>
    </row>
    <row r="73" customFormat="false" ht="14.25" hidden="false" customHeight="false" outlineLevel="0" collapsed="false">
      <c r="A73" s="0"/>
      <c r="B73" s="0"/>
      <c r="C73" s="0"/>
      <c r="D73" s="0"/>
      <c r="E73" s="0"/>
    </row>
    <row r="74" customFormat="false" ht="14.25" hidden="false" customHeight="false" outlineLevel="0" collapsed="false">
      <c r="A74" s="0"/>
      <c r="B74" s="0"/>
      <c r="C74" s="0"/>
      <c r="D74" s="0"/>
      <c r="E74" s="0"/>
    </row>
    <row r="75" customFormat="false" ht="14.25" hidden="false" customHeight="false" outlineLevel="0" collapsed="false">
      <c r="A75" s="0"/>
      <c r="B75" s="0"/>
      <c r="C75" s="0"/>
      <c r="D75" s="0"/>
      <c r="E75" s="0"/>
    </row>
    <row r="76" customFormat="false" ht="14.25" hidden="false" customHeight="false" outlineLevel="0" collapsed="false">
      <c r="A76" s="0"/>
      <c r="B76" s="0"/>
      <c r="C76" s="0"/>
      <c r="D76" s="0"/>
      <c r="E76" s="0"/>
    </row>
    <row r="77" customFormat="false" ht="14.25" hidden="false" customHeight="false" outlineLevel="0" collapsed="false">
      <c r="A77" s="0"/>
      <c r="B77" s="0"/>
      <c r="C77" s="0"/>
      <c r="D77" s="0"/>
      <c r="E77" s="0"/>
    </row>
    <row r="78" customFormat="false" ht="14.25" hidden="false" customHeight="false" outlineLevel="0" collapsed="false">
      <c r="A78" s="0"/>
      <c r="B78" s="0"/>
      <c r="C78" s="0"/>
      <c r="D78" s="0"/>
      <c r="E78" s="0"/>
    </row>
    <row r="79" customFormat="false" ht="14.25" hidden="false" customHeight="false" outlineLevel="0" collapsed="false">
      <c r="A79" s="0"/>
      <c r="B79" s="0"/>
      <c r="C79" s="0"/>
      <c r="D79" s="0"/>
      <c r="E79" s="0"/>
    </row>
    <row r="80" customFormat="false" ht="14.25" hidden="false" customHeight="false" outlineLevel="0" collapsed="false">
      <c r="A80" s="0"/>
      <c r="B80" s="0"/>
      <c r="C80" s="0"/>
      <c r="D80" s="0"/>
      <c r="E80" s="0"/>
    </row>
    <row r="81" customFormat="false" ht="14.25" hidden="false" customHeight="false" outlineLevel="0" collapsed="false">
      <c r="A81" s="0"/>
      <c r="B81" s="0"/>
      <c r="C81" s="0"/>
      <c r="D81" s="0"/>
      <c r="E81" s="0"/>
    </row>
    <row r="82" customFormat="false" ht="14.25" hidden="false" customHeight="false" outlineLevel="0" collapsed="false">
      <c r="A82" s="0"/>
      <c r="B82" s="0"/>
      <c r="C82" s="0"/>
      <c r="D82" s="0"/>
      <c r="E82" s="0"/>
    </row>
    <row r="83" customFormat="false" ht="14.25" hidden="false" customHeight="false" outlineLevel="0" collapsed="false">
      <c r="A83" s="0"/>
      <c r="B83" s="0"/>
      <c r="C83" s="0"/>
      <c r="D83" s="0"/>
      <c r="E83" s="0"/>
    </row>
    <row r="84" customFormat="false" ht="14.25" hidden="false" customHeight="false" outlineLevel="0" collapsed="false">
      <c r="A84" s="0"/>
      <c r="B84" s="0"/>
      <c r="C84" s="0"/>
      <c r="D84" s="0"/>
      <c r="E84" s="0"/>
    </row>
    <row r="85" customFormat="false" ht="14.25" hidden="false" customHeight="false" outlineLevel="0" collapsed="false">
      <c r="A85" s="0"/>
      <c r="B85" s="0"/>
      <c r="C85" s="0"/>
      <c r="D85" s="0"/>
      <c r="E85" s="0"/>
    </row>
    <row r="86" customFormat="false" ht="14.25" hidden="false" customHeight="false" outlineLevel="0" collapsed="false">
      <c r="A86" s="0"/>
      <c r="B86" s="0"/>
      <c r="C86" s="0"/>
      <c r="D86" s="0"/>
      <c r="E86" s="0"/>
    </row>
    <row r="87" customFormat="false" ht="14.25" hidden="false" customHeight="false" outlineLevel="0" collapsed="false">
      <c r="A87" s="0"/>
      <c r="B87" s="0"/>
      <c r="C87" s="0"/>
      <c r="D87" s="0"/>
      <c r="E87" s="0"/>
    </row>
    <row r="88" customFormat="false" ht="14.25" hidden="false" customHeight="false" outlineLevel="0" collapsed="false">
      <c r="A88" s="0"/>
      <c r="B88" s="0"/>
      <c r="C88" s="0"/>
      <c r="D88" s="0"/>
      <c r="E88" s="0"/>
    </row>
    <row r="89" customFormat="false" ht="14.25" hidden="false" customHeight="false" outlineLevel="0" collapsed="false">
      <c r="A89" s="0"/>
      <c r="B89" s="0"/>
      <c r="C89" s="0"/>
      <c r="D89" s="0"/>
      <c r="E89" s="0"/>
    </row>
    <row r="90" customFormat="false" ht="14.25" hidden="false" customHeight="false" outlineLevel="0" collapsed="false">
      <c r="A90" s="0"/>
      <c r="B90" s="0"/>
      <c r="C90" s="0"/>
      <c r="D90" s="0"/>
      <c r="E90" s="0"/>
    </row>
    <row r="91" customFormat="false" ht="14.25" hidden="false" customHeight="false" outlineLevel="0" collapsed="false">
      <c r="A91" s="0"/>
      <c r="B91" s="0"/>
      <c r="C91" s="0"/>
      <c r="D91" s="0"/>
      <c r="E91" s="0"/>
    </row>
    <row r="92" customFormat="false" ht="14.25" hidden="false" customHeight="false" outlineLevel="0" collapsed="false">
      <c r="A92" s="0"/>
      <c r="B92" s="0"/>
      <c r="C92" s="0"/>
      <c r="D92" s="0"/>
      <c r="E92" s="0"/>
    </row>
    <row r="93" customFormat="false" ht="14.25" hidden="false" customHeight="false" outlineLevel="0" collapsed="false">
      <c r="A93" s="0"/>
      <c r="B93" s="0"/>
      <c r="C93" s="0"/>
      <c r="D93" s="0"/>
      <c r="E93" s="0"/>
    </row>
    <row r="94" customFormat="false" ht="14.25" hidden="false" customHeight="false" outlineLevel="0" collapsed="false">
      <c r="A94" s="0"/>
      <c r="B94" s="0"/>
      <c r="C94" s="0"/>
      <c r="D94" s="0"/>
      <c r="E94" s="0"/>
    </row>
    <row r="95" customFormat="false" ht="14.25" hidden="false" customHeight="false" outlineLevel="0" collapsed="false">
      <c r="A95" s="0"/>
      <c r="B95" s="0"/>
      <c r="C95" s="0"/>
      <c r="D95" s="0"/>
      <c r="E95" s="0"/>
    </row>
    <row r="96" customFormat="false" ht="14.25" hidden="false" customHeight="false" outlineLevel="0" collapsed="false">
      <c r="A96" s="0"/>
      <c r="B96" s="0"/>
      <c r="C96" s="0"/>
      <c r="D96" s="0"/>
      <c r="E96" s="0"/>
    </row>
    <row r="97" customFormat="false" ht="14.25" hidden="false" customHeight="false" outlineLevel="0" collapsed="false">
      <c r="A97" s="0"/>
      <c r="B97" s="0"/>
      <c r="C97" s="0"/>
      <c r="D97" s="0"/>
      <c r="E97" s="0"/>
    </row>
    <row r="98" customFormat="false" ht="14.25" hidden="false" customHeight="false" outlineLevel="0" collapsed="false">
      <c r="A98" s="0"/>
      <c r="B98" s="0"/>
      <c r="C98" s="0"/>
      <c r="D98" s="0"/>
      <c r="E98" s="0"/>
    </row>
    <row r="99" customFormat="false" ht="14.25" hidden="false" customHeight="false" outlineLevel="0" collapsed="false">
      <c r="A99" s="0"/>
      <c r="B99" s="0"/>
      <c r="C99" s="0"/>
      <c r="D99" s="0"/>
      <c r="E99" s="0"/>
    </row>
    <row r="100" customFormat="false" ht="14.25" hidden="false" customHeight="false" outlineLevel="0" collapsed="false">
      <c r="A100" s="0"/>
      <c r="B100" s="0"/>
      <c r="C100" s="0"/>
      <c r="D100" s="0"/>
      <c r="E100" s="0"/>
    </row>
    <row r="101" customFormat="false" ht="14.25" hidden="false" customHeight="false" outlineLevel="0" collapsed="false">
      <c r="A101" s="0"/>
      <c r="B101" s="0"/>
      <c r="C101" s="0"/>
      <c r="D101" s="0"/>
      <c r="E101" s="0"/>
    </row>
    <row r="102" customFormat="false" ht="14.25" hidden="false" customHeight="false" outlineLevel="0" collapsed="false">
      <c r="A102" s="0"/>
      <c r="B102" s="0"/>
      <c r="C102" s="0"/>
      <c r="D102" s="0"/>
      <c r="E102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D105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L23" activeCellId="0" sqref="L23"/>
    </sheetView>
  </sheetViews>
  <sheetFormatPr defaultColWidth="8.625" defaultRowHeight="15.75" customHeight="true" zeroHeight="false" outlineLevelRow="0" outlineLevelCol="0"/>
  <cols>
    <col collapsed="false" customWidth="true" hidden="false" outlineLevel="0" max="1" min="1" style="12" width="5.12"/>
    <col collapsed="false" customWidth="true" hidden="false" outlineLevel="0" max="2" min="2" style="13" width="10"/>
    <col collapsed="false" customWidth="true" hidden="false" outlineLevel="0" max="3" min="3" style="14" width="38.5"/>
    <col collapsed="false" customWidth="true" hidden="false" outlineLevel="0" max="4" min="4" style="15" width="22.5"/>
    <col collapsed="false" customWidth="true" hidden="false" outlineLevel="0" max="5" min="5" style="15" width="22"/>
    <col collapsed="false" customWidth="true" hidden="false" outlineLevel="0" max="6" min="6" style="16" width="37.38"/>
    <col collapsed="false" customWidth="true" hidden="false" outlineLevel="0" max="7" min="7" style="16" width="9.87"/>
    <col collapsed="false" customWidth="true" hidden="false" outlineLevel="0" max="13" min="8" style="17" width="11.62"/>
    <col collapsed="false" customWidth="true" hidden="false" outlineLevel="0" max="14" min="14" style="16" width="9.5"/>
    <col collapsed="false" customWidth="true" hidden="false" outlineLevel="0" max="16" min="15" style="16" width="10.26"/>
    <col collapsed="false" customWidth="true" hidden="false" outlineLevel="0" max="17" min="17" style="16" width="2.62"/>
    <col collapsed="false" customWidth="true" hidden="false" outlineLevel="0" max="73" min="18" style="16" width="3.38"/>
    <col collapsed="false" customWidth="true" hidden="false" outlineLevel="0" max="74" min="74" style="16" width="2.62"/>
    <col collapsed="false" customWidth="false" hidden="false" outlineLevel="0" max="16384" min="75" style="16" width="8.62"/>
  </cols>
  <sheetData>
    <row r="1" customFormat="false" ht="17.35" hidden="false" customHeight="false" outlineLevel="0" collapsed="false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2" customFormat="false" ht="15.75" hidden="false" customHeight="true" outlineLevel="0" collapsed="false">
      <c r="A2" s="19" t="s">
        <v>12</v>
      </c>
      <c r="B2" s="19"/>
      <c r="C2" s="19"/>
      <c r="D2" s="20" t="s">
        <v>13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R2" s="21" t="s">
        <v>14</v>
      </c>
      <c r="S2" s="21"/>
      <c r="T2" s="21"/>
      <c r="U2" s="21"/>
      <c r="V2" s="21"/>
      <c r="W2" s="21"/>
      <c r="X2" s="21"/>
      <c r="Y2" s="21"/>
      <c r="Z2" s="22" t="n">
        <v>46128</v>
      </c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</row>
    <row r="3" customFormat="false" ht="15.75" hidden="false" customHeight="true" outlineLevel="0" collapsed="false">
      <c r="A3" s="19" t="s">
        <v>15</v>
      </c>
      <c r="B3" s="19"/>
      <c r="C3" s="19"/>
      <c r="D3" s="20" t="s">
        <v>16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R3" s="21" t="s">
        <v>17</v>
      </c>
      <c r="S3" s="21"/>
      <c r="T3" s="21"/>
      <c r="U3" s="21"/>
      <c r="V3" s="21"/>
      <c r="W3" s="21"/>
      <c r="X3" s="21"/>
      <c r="Y3" s="21"/>
      <c r="Z3" s="23" t="n">
        <v>5</v>
      </c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</row>
    <row r="4" customFormat="false" ht="15.75" hidden="false" customHeight="true" outlineLevel="0" collapsed="false">
      <c r="A4" s="19" t="s">
        <v>18</v>
      </c>
      <c r="B4" s="19"/>
      <c r="C4" s="19"/>
      <c r="D4" s="24" t="s">
        <v>19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</row>
    <row r="5" s="14" customFormat="true" ht="21" hidden="false" customHeight="true" outlineLevel="0" collapsed="false">
      <c r="A5" s="26" t="s">
        <v>0</v>
      </c>
      <c r="B5" s="27" t="s">
        <v>20</v>
      </c>
      <c r="C5" s="27" t="s">
        <v>1</v>
      </c>
      <c r="D5" s="28" t="s">
        <v>2</v>
      </c>
      <c r="E5" s="28" t="s">
        <v>3</v>
      </c>
      <c r="F5" s="27" t="s">
        <v>4</v>
      </c>
      <c r="G5" s="28" t="s">
        <v>21</v>
      </c>
      <c r="H5" s="28" t="s">
        <v>22</v>
      </c>
      <c r="I5" s="29" t="s">
        <v>23</v>
      </c>
      <c r="J5" s="29" t="s">
        <v>24</v>
      </c>
      <c r="K5" s="30" t="s">
        <v>25</v>
      </c>
      <c r="L5" s="30" t="s">
        <v>26</v>
      </c>
      <c r="M5" s="28" t="s">
        <v>27</v>
      </c>
      <c r="N5" s="27" t="s">
        <v>28</v>
      </c>
      <c r="O5" s="28" t="s">
        <v>29</v>
      </c>
      <c r="P5" s="31" t="s">
        <v>30</v>
      </c>
      <c r="R5" s="32" t="n">
        <f aca="false">R6</f>
        <v>46153</v>
      </c>
      <c r="S5" s="32"/>
      <c r="T5" s="32"/>
      <c r="U5" s="32"/>
      <c r="V5" s="32"/>
      <c r="W5" s="32"/>
      <c r="X5" s="32"/>
      <c r="Y5" s="32" t="n">
        <f aca="false">Y6</f>
        <v>46160</v>
      </c>
      <c r="Z5" s="32"/>
      <c r="AA5" s="32"/>
      <c r="AB5" s="32"/>
      <c r="AC5" s="32"/>
      <c r="AD5" s="32"/>
      <c r="AE5" s="32"/>
      <c r="AF5" s="32" t="n">
        <f aca="false">AF6</f>
        <v>46167</v>
      </c>
      <c r="AG5" s="32"/>
      <c r="AH5" s="32"/>
      <c r="AI5" s="32"/>
      <c r="AJ5" s="32"/>
      <c r="AK5" s="32"/>
      <c r="AL5" s="32"/>
      <c r="AM5" s="32" t="n">
        <f aca="false">AM6</f>
        <v>46174</v>
      </c>
      <c r="AN5" s="32"/>
      <c r="AO5" s="32"/>
      <c r="AP5" s="32"/>
      <c r="AQ5" s="32"/>
      <c r="AR5" s="32"/>
      <c r="AS5" s="32"/>
      <c r="AT5" s="32" t="n">
        <f aca="false">AT6</f>
        <v>46181</v>
      </c>
      <c r="AU5" s="32"/>
      <c r="AV5" s="32"/>
      <c r="AW5" s="32"/>
      <c r="AX5" s="32"/>
      <c r="AY5" s="32"/>
      <c r="AZ5" s="32"/>
      <c r="BA5" s="32" t="n">
        <f aca="false">BA6</f>
        <v>46188</v>
      </c>
      <c r="BB5" s="32"/>
      <c r="BC5" s="32"/>
      <c r="BD5" s="32"/>
      <c r="BE5" s="32"/>
      <c r="BF5" s="32"/>
      <c r="BG5" s="32"/>
      <c r="BH5" s="32" t="n">
        <f aca="false">BH6</f>
        <v>46195</v>
      </c>
      <c r="BI5" s="32"/>
      <c r="BJ5" s="32"/>
      <c r="BK5" s="32"/>
      <c r="BL5" s="32"/>
      <c r="BM5" s="32"/>
      <c r="BN5" s="32"/>
      <c r="BO5" s="32" t="n">
        <f aca="false">BO6</f>
        <v>46202</v>
      </c>
      <c r="BP5" s="32"/>
      <c r="BQ5" s="32"/>
      <c r="BR5" s="32"/>
      <c r="BS5" s="32"/>
      <c r="BT5" s="32"/>
      <c r="BU5" s="32"/>
    </row>
    <row r="6" s="14" customFormat="true" ht="15" hidden="false" customHeight="true" outlineLevel="0" collapsed="false">
      <c r="A6" s="26"/>
      <c r="B6" s="27"/>
      <c r="C6" s="27"/>
      <c r="D6" s="28"/>
      <c r="E6" s="28"/>
      <c r="F6" s="27"/>
      <c r="G6" s="28"/>
      <c r="H6" s="28"/>
      <c r="I6" s="29"/>
      <c r="J6" s="29"/>
      <c r="K6" s="30"/>
      <c r="L6" s="30"/>
      <c r="M6" s="28"/>
      <c r="N6" s="27"/>
      <c r="O6" s="28"/>
      <c r="P6" s="31"/>
      <c r="Q6" s="33"/>
      <c r="R6" s="34" t="n">
        <f aca="false">Project_Start-WEEKDAY(Project_Start,1)+2+7*(Display_Week-1)</f>
        <v>46153</v>
      </c>
      <c r="S6" s="34" t="n">
        <f aca="false">R6+1</f>
        <v>46154</v>
      </c>
      <c r="T6" s="34" t="n">
        <f aca="false">S6+1</f>
        <v>46155</v>
      </c>
      <c r="U6" s="34" t="n">
        <f aca="false">T6+1</f>
        <v>46156</v>
      </c>
      <c r="V6" s="34" t="n">
        <f aca="false">U6+1</f>
        <v>46157</v>
      </c>
      <c r="W6" s="34" t="n">
        <f aca="false">V6+1</f>
        <v>46158</v>
      </c>
      <c r="X6" s="34" t="n">
        <f aca="false">W6+1</f>
        <v>46159</v>
      </c>
      <c r="Y6" s="34" t="n">
        <f aca="false">X6+1</f>
        <v>46160</v>
      </c>
      <c r="Z6" s="34" t="n">
        <f aca="false">Y6+1</f>
        <v>46161</v>
      </c>
      <c r="AA6" s="34" t="n">
        <f aca="false">Z6+1</f>
        <v>46162</v>
      </c>
      <c r="AB6" s="34" t="n">
        <f aca="false">AA6+1</f>
        <v>46163</v>
      </c>
      <c r="AC6" s="34" t="n">
        <f aca="false">AB6+1</f>
        <v>46164</v>
      </c>
      <c r="AD6" s="34" t="n">
        <f aca="false">AC6+1</f>
        <v>46165</v>
      </c>
      <c r="AE6" s="34" t="n">
        <f aca="false">AD6+1</f>
        <v>46166</v>
      </c>
      <c r="AF6" s="34" t="n">
        <f aca="false">AE6+1</f>
        <v>46167</v>
      </c>
      <c r="AG6" s="34" t="n">
        <f aca="false">AF6+1</f>
        <v>46168</v>
      </c>
      <c r="AH6" s="34" t="n">
        <f aca="false">AG6+1</f>
        <v>46169</v>
      </c>
      <c r="AI6" s="34" t="n">
        <f aca="false">AH6+1</f>
        <v>46170</v>
      </c>
      <c r="AJ6" s="34" t="n">
        <f aca="false">AI6+1</f>
        <v>46171</v>
      </c>
      <c r="AK6" s="34" t="n">
        <f aca="false">AJ6+1</f>
        <v>46172</v>
      </c>
      <c r="AL6" s="34" t="n">
        <f aca="false">AK6+1</f>
        <v>46173</v>
      </c>
      <c r="AM6" s="34" t="n">
        <f aca="false">AL6+1</f>
        <v>46174</v>
      </c>
      <c r="AN6" s="34" t="n">
        <f aca="false">AM6+1</f>
        <v>46175</v>
      </c>
      <c r="AO6" s="34" t="n">
        <f aca="false">AN6+1</f>
        <v>46176</v>
      </c>
      <c r="AP6" s="34" t="n">
        <f aca="false">AO6+1</f>
        <v>46177</v>
      </c>
      <c r="AQ6" s="34" t="n">
        <f aca="false">AP6+1</f>
        <v>46178</v>
      </c>
      <c r="AR6" s="34" t="n">
        <f aca="false">AQ6+1</f>
        <v>46179</v>
      </c>
      <c r="AS6" s="34" t="n">
        <f aca="false">AR6+1</f>
        <v>46180</v>
      </c>
      <c r="AT6" s="34" t="n">
        <f aca="false">AS6+1</f>
        <v>46181</v>
      </c>
      <c r="AU6" s="34" t="n">
        <f aca="false">AT6+1</f>
        <v>46182</v>
      </c>
      <c r="AV6" s="34" t="n">
        <f aca="false">AU6+1</f>
        <v>46183</v>
      </c>
      <c r="AW6" s="34" t="n">
        <f aca="false">AV6+1</f>
        <v>46184</v>
      </c>
      <c r="AX6" s="34" t="n">
        <f aca="false">AW6+1</f>
        <v>46185</v>
      </c>
      <c r="AY6" s="34" t="n">
        <f aca="false">AX6+1</f>
        <v>46186</v>
      </c>
      <c r="AZ6" s="34" t="n">
        <f aca="false">AY6+1</f>
        <v>46187</v>
      </c>
      <c r="BA6" s="34" t="n">
        <f aca="false">AZ6+1</f>
        <v>46188</v>
      </c>
      <c r="BB6" s="34" t="n">
        <f aca="false">BA6+1</f>
        <v>46189</v>
      </c>
      <c r="BC6" s="34" t="n">
        <f aca="false">BB6+1</f>
        <v>46190</v>
      </c>
      <c r="BD6" s="34" t="n">
        <f aca="false">BC6+1</f>
        <v>46191</v>
      </c>
      <c r="BE6" s="34" t="n">
        <f aca="false">BD6+1</f>
        <v>46192</v>
      </c>
      <c r="BF6" s="34" t="n">
        <f aca="false">BE6+1</f>
        <v>46193</v>
      </c>
      <c r="BG6" s="34" t="n">
        <f aca="false">BF6+1</f>
        <v>46194</v>
      </c>
      <c r="BH6" s="34" t="n">
        <f aca="false">BG6+1</f>
        <v>46195</v>
      </c>
      <c r="BI6" s="34" t="n">
        <f aca="false">BH6+1</f>
        <v>46196</v>
      </c>
      <c r="BJ6" s="34" t="n">
        <f aca="false">BI6+1</f>
        <v>46197</v>
      </c>
      <c r="BK6" s="34" t="n">
        <f aca="false">BJ6+1</f>
        <v>46198</v>
      </c>
      <c r="BL6" s="34" t="n">
        <f aca="false">BK6+1</f>
        <v>46199</v>
      </c>
      <c r="BM6" s="34" t="n">
        <f aca="false">BL6+1</f>
        <v>46200</v>
      </c>
      <c r="BN6" s="34" t="n">
        <f aca="false">BM6+1</f>
        <v>46201</v>
      </c>
      <c r="BO6" s="34" t="n">
        <f aca="false">BN6+1</f>
        <v>46202</v>
      </c>
      <c r="BP6" s="34" t="n">
        <f aca="false">BO6+1</f>
        <v>46203</v>
      </c>
      <c r="BQ6" s="34" t="n">
        <f aca="false">BP6+1</f>
        <v>46204</v>
      </c>
      <c r="BR6" s="34" t="n">
        <f aca="false">BQ6+1</f>
        <v>46205</v>
      </c>
      <c r="BS6" s="34" t="n">
        <f aca="false">BR6+1</f>
        <v>46206</v>
      </c>
      <c r="BT6" s="34" t="n">
        <f aca="false">BS6+1</f>
        <v>46207</v>
      </c>
      <c r="BU6" s="34" t="n">
        <f aca="false">BT6+1</f>
        <v>46208</v>
      </c>
    </row>
    <row r="7" s="14" customFormat="true" ht="15.75" hidden="false" customHeight="false" outlineLevel="0" collapsed="false">
      <c r="A7" s="26"/>
      <c r="B7" s="27"/>
      <c r="C7" s="27"/>
      <c r="D7" s="28"/>
      <c r="E7" s="28"/>
      <c r="F7" s="27"/>
      <c r="G7" s="28"/>
      <c r="H7" s="28"/>
      <c r="I7" s="29"/>
      <c r="J7" s="29"/>
      <c r="K7" s="30"/>
      <c r="L7" s="30"/>
      <c r="M7" s="28"/>
      <c r="N7" s="27"/>
      <c r="O7" s="28"/>
      <c r="P7" s="31"/>
      <c r="Q7" s="33"/>
      <c r="R7" s="35" t="str">
        <f aca="false">LEFT(TEXT(R6,"ddd"),1)</f>
        <v>M</v>
      </c>
      <c r="S7" s="35" t="str">
        <f aca="false">LEFT(TEXT(S6,"ddd"),1)</f>
        <v>T</v>
      </c>
      <c r="T7" s="35" t="str">
        <f aca="false">LEFT(TEXT(T6,"ddd"),1)</f>
        <v>W</v>
      </c>
      <c r="U7" s="35" t="str">
        <f aca="false">LEFT(TEXT(U6,"ddd"),1)</f>
        <v>T</v>
      </c>
      <c r="V7" s="35" t="str">
        <f aca="false">LEFT(TEXT(V6,"ddd"),1)</f>
        <v>F</v>
      </c>
      <c r="W7" s="35" t="str">
        <f aca="false">LEFT(TEXT(W6,"ddd"),1)</f>
        <v>S</v>
      </c>
      <c r="X7" s="35" t="str">
        <f aca="false">LEFT(TEXT(X6,"ddd"),1)</f>
        <v>S</v>
      </c>
      <c r="Y7" s="35" t="str">
        <f aca="false">LEFT(TEXT(Y6,"ddd"),1)</f>
        <v>M</v>
      </c>
      <c r="Z7" s="35" t="str">
        <f aca="false">LEFT(TEXT(Z6,"ddd"),1)</f>
        <v>T</v>
      </c>
      <c r="AA7" s="35" t="str">
        <f aca="false">LEFT(TEXT(AA6,"ddd"),1)</f>
        <v>W</v>
      </c>
      <c r="AB7" s="35" t="str">
        <f aca="false">LEFT(TEXT(AB6,"ddd"),1)</f>
        <v>T</v>
      </c>
      <c r="AC7" s="35" t="str">
        <f aca="false">LEFT(TEXT(AC6,"ddd"),1)</f>
        <v>F</v>
      </c>
      <c r="AD7" s="35" t="str">
        <f aca="false">LEFT(TEXT(AD6,"ddd"),1)</f>
        <v>S</v>
      </c>
      <c r="AE7" s="35" t="str">
        <f aca="false">LEFT(TEXT(AE6,"ddd"),1)</f>
        <v>S</v>
      </c>
      <c r="AF7" s="35" t="str">
        <f aca="false">LEFT(TEXT(AF6,"ddd"),1)</f>
        <v>M</v>
      </c>
      <c r="AG7" s="35" t="str">
        <f aca="false">LEFT(TEXT(AG6,"ddd"),1)</f>
        <v>T</v>
      </c>
      <c r="AH7" s="35" t="str">
        <f aca="false">LEFT(TEXT(AH6,"ddd"),1)</f>
        <v>W</v>
      </c>
      <c r="AI7" s="35" t="str">
        <f aca="false">LEFT(TEXT(AI6,"ddd"),1)</f>
        <v>T</v>
      </c>
      <c r="AJ7" s="35" t="str">
        <f aca="false">LEFT(TEXT(AJ6,"ddd"),1)</f>
        <v>F</v>
      </c>
      <c r="AK7" s="35" t="str">
        <f aca="false">LEFT(TEXT(AK6,"ddd"),1)</f>
        <v>S</v>
      </c>
      <c r="AL7" s="35" t="str">
        <f aca="false">LEFT(TEXT(AL6,"ddd"),1)</f>
        <v>S</v>
      </c>
      <c r="AM7" s="35" t="str">
        <f aca="false">LEFT(TEXT(AM6,"ddd"),1)</f>
        <v>M</v>
      </c>
      <c r="AN7" s="35" t="str">
        <f aca="false">LEFT(TEXT(AN6,"ddd"),1)</f>
        <v>T</v>
      </c>
      <c r="AO7" s="35" t="str">
        <f aca="false">LEFT(TEXT(AO6,"ddd"),1)</f>
        <v>W</v>
      </c>
      <c r="AP7" s="35" t="str">
        <f aca="false">LEFT(TEXT(AP6,"ddd"),1)</f>
        <v>T</v>
      </c>
      <c r="AQ7" s="35" t="str">
        <f aca="false">LEFT(TEXT(AQ6,"ddd"),1)</f>
        <v>F</v>
      </c>
      <c r="AR7" s="35" t="str">
        <f aca="false">LEFT(TEXT(AR6,"ddd"),1)</f>
        <v>S</v>
      </c>
      <c r="AS7" s="35" t="str">
        <f aca="false">LEFT(TEXT(AS6,"ddd"),1)</f>
        <v>S</v>
      </c>
      <c r="AT7" s="35" t="str">
        <f aca="false">LEFT(TEXT(AT6,"ddd"),1)</f>
        <v>M</v>
      </c>
      <c r="AU7" s="35" t="str">
        <f aca="false">LEFT(TEXT(AU6,"ddd"),1)</f>
        <v>T</v>
      </c>
      <c r="AV7" s="35" t="str">
        <f aca="false">LEFT(TEXT(AV6,"ddd"),1)</f>
        <v>W</v>
      </c>
      <c r="AW7" s="35" t="str">
        <f aca="false">LEFT(TEXT(AW6,"ddd"),1)</f>
        <v>T</v>
      </c>
      <c r="AX7" s="35" t="str">
        <f aca="false">LEFT(TEXT(AX6,"ddd"),1)</f>
        <v>F</v>
      </c>
      <c r="AY7" s="35" t="str">
        <f aca="false">LEFT(TEXT(AY6,"ddd"),1)</f>
        <v>S</v>
      </c>
      <c r="AZ7" s="35" t="str">
        <f aca="false">LEFT(TEXT(AZ6,"ddd"),1)</f>
        <v>S</v>
      </c>
      <c r="BA7" s="35" t="str">
        <f aca="false">LEFT(TEXT(BA6,"ddd"),1)</f>
        <v>M</v>
      </c>
      <c r="BB7" s="35" t="str">
        <f aca="false">LEFT(TEXT(BB6,"ddd"),1)</f>
        <v>T</v>
      </c>
      <c r="BC7" s="35" t="str">
        <f aca="false">LEFT(TEXT(BC6,"ddd"),1)</f>
        <v>W</v>
      </c>
      <c r="BD7" s="35" t="str">
        <f aca="false">LEFT(TEXT(BD6,"ddd"),1)</f>
        <v>T</v>
      </c>
      <c r="BE7" s="35" t="str">
        <f aca="false">LEFT(TEXT(BE6,"ddd"),1)</f>
        <v>F</v>
      </c>
      <c r="BF7" s="35" t="str">
        <f aca="false">LEFT(TEXT(BF6,"ddd"),1)</f>
        <v>S</v>
      </c>
      <c r="BG7" s="35" t="str">
        <f aca="false">LEFT(TEXT(BG6,"ddd"),1)</f>
        <v>S</v>
      </c>
      <c r="BH7" s="35" t="str">
        <f aca="false">LEFT(TEXT(BH6,"ddd"),1)</f>
        <v>M</v>
      </c>
      <c r="BI7" s="35" t="str">
        <f aca="false">LEFT(TEXT(BI6,"ddd"),1)</f>
        <v>T</v>
      </c>
      <c r="BJ7" s="35" t="str">
        <f aca="false">LEFT(TEXT(BJ6,"ddd"),1)</f>
        <v>W</v>
      </c>
      <c r="BK7" s="35" t="str">
        <f aca="false">LEFT(TEXT(BK6,"ddd"),1)</f>
        <v>T</v>
      </c>
      <c r="BL7" s="35" t="str">
        <f aca="false">LEFT(TEXT(BL6,"ddd"),1)</f>
        <v>F</v>
      </c>
      <c r="BM7" s="35" t="str">
        <f aca="false">LEFT(TEXT(BM6,"ddd"),1)</f>
        <v>S</v>
      </c>
      <c r="BN7" s="35" t="str">
        <f aca="false">LEFT(TEXT(BN6,"ddd"),1)</f>
        <v>S</v>
      </c>
      <c r="BO7" s="35" t="str">
        <f aca="false">LEFT(TEXT(BO6,"ddd"),1)</f>
        <v>M</v>
      </c>
      <c r="BP7" s="35" t="str">
        <f aca="false">LEFT(TEXT(BP6,"ddd"),1)</f>
        <v>T</v>
      </c>
      <c r="BQ7" s="35" t="str">
        <f aca="false">LEFT(TEXT(BQ6,"ddd"),1)</f>
        <v>W</v>
      </c>
      <c r="BR7" s="35" t="str">
        <f aca="false">LEFT(TEXT(BR6,"ddd"),1)</f>
        <v>T</v>
      </c>
      <c r="BS7" s="35" t="str">
        <f aca="false">LEFT(TEXT(BS6,"ddd"),1)</f>
        <v>F</v>
      </c>
      <c r="BT7" s="35" t="str">
        <f aca="false">LEFT(TEXT(BT6,"ddd"),1)</f>
        <v>S</v>
      </c>
      <c r="BU7" s="35" t="str">
        <f aca="false">LEFT(TEXT(BU6,"ddd"),1)</f>
        <v>S</v>
      </c>
    </row>
    <row r="8" customFormat="false" ht="16.5" hidden="false" customHeight="true" outlineLevel="0" collapsed="false">
      <c r="A8" s="36" t="n">
        <v>1</v>
      </c>
      <c r="B8" s="37" t="s">
        <v>31</v>
      </c>
      <c r="C8" s="38" t="s">
        <v>6</v>
      </c>
      <c r="D8" s="39" t="s">
        <v>7</v>
      </c>
      <c r="E8" s="39" t="s">
        <v>8</v>
      </c>
      <c r="F8" s="40" t="s">
        <v>9</v>
      </c>
      <c r="G8" s="41"/>
      <c r="H8" s="42" t="n">
        <v>0.2</v>
      </c>
      <c r="I8" s="43" t="n">
        <v>46127</v>
      </c>
      <c r="J8" s="43" t="n">
        <v>46128</v>
      </c>
      <c r="K8" s="43" t="n">
        <v>46128</v>
      </c>
      <c r="L8" s="43" t="n">
        <v>46128</v>
      </c>
      <c r="M8" s="44" t="n">
        <f aca="false">IF(OR(ISBLANK(task_start),ISBLANK(task_end)),"",
NETWORKDAYS(task_start,task_end)/5)</f>
        <v>0.2</v>
      </c>
      <c r="N8" s="45" t="n">
        <v>1</v>
      </c>
      <c r="O8" s="41" t="str">
        <f aca="false">IF($N8&gt;=1,"Completed",
 IF($N8=0,"Not Started",
 "In Progress"))</f>
        <v>Completed</v>
      </c>
      <c r="P8" s="41" t="str">
        <f aca="true">IF($N8&gt;=1,
    IF($M8&gt;$K8,"Delayed","On Track"),
 IF(TODAY()&lt;$J8,
    "On Track",
 IF(AND($N8=0,TODAY()&gt;$K8),
    "Delayed",
 IF(AND($L8&lt;&gt;"",$L8&gt;$J8),
    "At Risk",
 IF(TODAY()&gt;$K8,
    "Delayed",
 "On Track")))))</f>
        <v>On Track</v>
      </c>
      <c r="Q8" s="46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X8" s="48"/>
      <c r="BY8" s="48"/>
      <c r="BZ8" s="48"/>
      <c r="CA8" s="48"/>
      <c r="CB8" s="48"/>
      <c r="CC8" s="48"/>
      <c r="CD8" s="48"/>
    </row>
    <row r="9" customFormat="false" ht="16.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</row>
    <row r="10" customFormat="false" ht="16.5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</row>
    <row r="11" customFormat="false" ht="16.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</row>
    <row r="12" customFormat="false" ht="16.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</row>
    <row r="13" customFormat="false" ht="16.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</row>
    <row r="14" customFormat="false" ht="16.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</row>
    <row r="15" customFormat="false" ht="16.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</row>
    <row r="16" customFormat="false" ht="16.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</row>
    <row r="17" customFormat="false" ht="16.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</row>
    <row r="18" customFormat="false" ht="16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</row>
    <row r="19" customFormat="false" ht="16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</row>
    <row r="20" customFormat="false" ht="16.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</row>
    <row r="21" customFormat="false" ht="16.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</row>
    <row r="22" customFormat="false" ht="16.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</row>
    <row r="23" customFormat="false" ht="16.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</row>
    <row r="24" customFormat="false" ht="16.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</row>
    <row r="25" customFormat="false" ht="16.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</row>
    <row r="27" customFormat="false" ht="16.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</row>
    <row r="28" customFormat="false" ht="16.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</row>
    <row r="40" customFormat="false" ht="16.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</row>
    <row r="41" customFormat="false" ht="16.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</row>
    <row r="42" customFormat="false" ht="16.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</row>
    <row r="43" customFormat="false" ht="16.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</row>
    <row r="44" customFormat="false" ht="16.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</row>
    <row r="45" customFormat="false" ht="16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</row>
    <row r="46" customFormat="false" ht="16.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</row>
    <row r="47" customFormat="false" ht="16.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</row>
    <row r="48" customFormat="false" ht="16.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</row>
    <row r="49" customFormat="false" ht="16.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</row>
    <row r="50" customFormat="false" ht="16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</row>
    <row r="51" customFormat="false" ht="16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</row>
    <row r="52" customFormat="false" ht="16.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</row>
    <row r="53" customFormat="false" ht="16.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</row>
    <row r="54" customFormat="false" ht="16.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</row>
    <row r="55" customFormat="false" ht="16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</row>
    <row r="56" customFormat="false" ht="16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</row>
    <row r="57" customFormat="false" ht="16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</row>
    <row r="58" customFormat="false" ht="16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</row>
    <row r="59" customFormat="false" ht="16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</row>
    <row r="60" customFormat="false" ht="16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</row>
    <row r="61" customFormat="false" ht="16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</row>
    <row r="62" customFormat="false" ht="16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</row>
    <row r="63" customFormat="false" ht="16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</row>
    <row r="64" customFormat="false" ht="16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</row>
    <row r="65" customFormat="false" ht="16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</row>
    <row r="66" customFormat="false" ht="16.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</row>
    <row r="67" customFormat="false" ht="16.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</row>
    <row r="68" customFormat="false" ht="16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</row>
    <row r="69" customFormat="false" ht="16.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</row>
    <row r="70" customFormat="false" ht="16.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</row>
    <row r="71" customFormat="false" ht="16.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</row>
    <row r="72" customFormat="false" ht="16.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</row>
    <row r="73" customFormat="false" ht="16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</row>
    <row r="74" customFormat="false" ht="16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</row>
    <row r="75" customFormat="false" ht="16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</row>
    <row r="76" customFormat="false" ht="16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</row>
    <row r="77" customFormat="false" ht="16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</row>
    <row r="78" customFormat="false" ht="16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</row>
    <row r="79" customFormat="false" ht="16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</row>
    <row r="80" customFormat="false" ht="16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</row>
    <row r="81" customFormat="false" ht="16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</row>
    <row r="82" customFormat="false" ht="16.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</row>
    <row r="83" customFormat="false" ht="16.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</row>
    <row r="84" customFormat="false" ht="16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</row>
    <row r="85" customFormat="false" ht="16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</row>
    <row r="86" customFormat="false" ht="16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</row>
    <row r="87" customFormat="false" ht="16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</row>
    <row r="88" customFormat="false" ht="16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</row>
    <row r="89" customFormat="false" ht="16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</row>
    <row r="90" customFormat="false" ht="16.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</row>
    <row r="91" customFormat="false" ht="16.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</row>
    <row r="92" customFormat="false" ht="16.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</row>
    <row r="93" customFormat="false" ht="16.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</row>
    <row r="94" customFormat="false" ht="16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</row>
    <row r="95" customFormat="false" ht="16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</row>
    <row r="96" customFormat="false" ht="16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</row>
    <row r="97" customFormat="false" ht="16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</row>
    <row r="98" customFormat="false" ht="16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</row>
    <row r="99" customFormat="false" ht="16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</row>
    <row r="100" customFormat="false" ht="16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</row>
    <row r="101" customFormat="false" ht="16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</row>
    <row r="102" customFormat="false" ht="16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</row>
    <row r="103" customFormat="false" ht="16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</row>
    <row r="104" customFormat="false" ht="16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</row>
    <row r="105" customFormat="false" ht="16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</row>
  </sheetData>
  <mergeCells count="39">
    <mergeCell ref="A1:P1"/>
    <mergeCell ref="A2:C2"/>
    <mergeCell ref="D2:P2"/>
    <mergeCell ref="R2:Y2"/>
    <mergeCell ref="Z2:AE2"/>
    <mergeCell ref="AF2:BU2"/>
    <mergeCell ref="A3:C3"/>
    <mergeCell ref="D3:P3"/>
    <mergeCell ref="R3:Y3"/>
    <mergeCell ref="Z3:AE3"/>
    <mergeCell ref="AF3:BU3"/>
    <mergeCell ref="A4:C4"/>
    <mergeCell ref="D4:P4"/>
    <mergeCell ref="R4:BU4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R5:X5"/>
    <mergeCell ref="Y5:AE5"/>
    <mergeCell ref="AF5:AL5"/>
    <mergeCell ref="AM5:AS5"/>
    <mergeCell ref="AT5:AZ5"/>
    <mergeCell ref="BA5:BG5"/>
    <mergeCell ref="BH5:BN5"/>
    <mergeCell ref="BO5:BU5"/>
    <mergeCell ref="BX8:CD8"/>
  </mergeCells>
  <conditionalFormatting sqref="P8:P5000">
    <cfRule type="expression" priority="2" aboveAverage="0" equalAverage="0" bottom="0" percent="0" rank="0" text="" dxfId="0">
      <formula>$P8="At Risk"</formula>
    </cfRule>
    <cfRule type="expression" priority="3" aboveAverage="0" equalAverage="0" bottom="0" percent="0" rank="0" text="" dxfId="1">
      <formula>$P8="On Track"</formula>
    </cfRule>
    <cfRule type="expression" priority="4" aboveAverage="0" equalAverage="0" bottom="0" percent="0" rank="0" text="" dxfId="2">
      <formula>$P8="Delayed"</formula>
    </cfRule>
  </conditionalFormatting>
  <conditionalFormatting sqref="F8:F5000">
    <cfRule type="expression" priority="5" aboveAverage="0" equalAverage="0" bottom="0" percent="0" rank="0" text="" dxfId="3">
      <formula>AND($O8&lt;&gt;"",EXACT($O8,"In Progress"))</formula>
    </cfRule>
    <cfRule type="expression" priority="6" aboveAverage="0" equalAverage="0" bottom="0" percent="0" rank="0" text="" dxfId="4">
      <formula>AND($O8&lt;&gt;"",EXACT($O8,"Completed"))</formula>
    </cfRule>
    <cfRule type="expression" priority="7" aboveAverage="0" equalAverage="0" bottom="0" percent="0" rank="0" text="" dxfId="5">
      <formula>AND($O8&lt;&gt;"",EXACT($O8,"At Risk"))</formula>
    </cfRule>
    <cfRule type="expression" priority="8" aboveAverage="0" equalAverage="0" bottom="0" percent="0" rank="0" text="" dxfId="6">
      <formula>AND($O8&lt;&gt;"",EXACT($O8,"Delayed"))</formula>
    </cfRule>
  </conditionalFormatting>
  <conditionalFormatting sqref="O8:O5000">
    <cfRule type="expression" priority="9" aboveAverage="0" equalAverage="0" bottom="0" percent="0" rank="0" text="" dxfId="7">
      <formula>$O8="In Progress"</formula>
    </cfRule>
    <cfRule type="expression" priority="10" aboveAverage="0" equalAverage="0" bottom="0" percent="0" rank="0" text="" dxfId="8">
      <formula>$O8="Completed"</formula>
    </cfRule>
  </conditionalFormatting>
  <conditionalFormatting sqref="R6:BU8">
    <cfRule type="expression" priority="11" aboveAverage="0" equalAverage="0" bottom="0" percent="0" rank="0" text="" dxfId="9">
      <formula>AND(TODAY()&gt;=R$6, TODAY()&lt;S$6)</formula>
    </cfRule>
  </conditionalFormatting>
  <conditionalFormatting sqref="R8:BU8">
    <cfRule type="expression" priority="12" aboveAverage="0" equalAverage="0" bottom="0" percent="0" rank="0" text="" dxfId="10">
      <formula>AND(task_start&lt;=R$6,ROUNDDOWN((task_end-task_start+1)*task_progress,0)+task_start-1&gt;=R$6)</formula>
    </cfRule>
    <cfRule type="expression" priority="13" aboveAverage="0" equalAverage="0" bottom="0" percent="0" rank="0" text="" dxfId="11">
      <formula>AND(task_end&gt;=R$6,task_start&lt;S$6)</formula>
    </cfRule>
  </conditionalFormatting>
  <conditionalFormatting sqref="C8:C5000">
    <cfRule type="expression" priority="14" aboveAverage="0" equalAverage="0" bottom="0" percent="0" rank="0" text="" dxfId="12">
      <formula>AND($B8&lt;&gt;"", COUNTIFS($B$8:$B$200,$B8,$O$8:$O$200,"Delayed")=0, COUNTIFS($B$8:$B$200,$B8,$O$8:$O$200,"At Risk")&gt;0)</formula>
    </cfRule>
    <cfRule type="expression" priority="15" aboveAverage="0" equalAverage="0" bottom="0" percent="0" rank="0" text="" dxfId="13">
      <formula>AND($B8&lt;&gt;"", COUNTIFS($B$8:$B$200,$B8,$O$8:$O$200,"Delayed")&gt;0)</formula>
    </cfRule>
    <cfRule type="expression" priority="16" aboveAverage="0" equalAverage="0" bottom="0" percent="0" rank="0" text="" dxfId="14">
      <formula>AND($B8&lt;&gt;"", COUNTIFS($B$8:$B$200,$B8,$O$8:$O$200,"Delayed")=0, COUNTIFS($B$8:$B$200,$B8,$O$8:$O$200,"At Risk")=0, COUNTIFS($B$8:$B$200,$B8,$O$8:$O$200,"In Progress")&gt;0)</formula>
    </cfRule>
    <cfRule type="expression" priority="17" aboveAverage="0" equalAverage="0" bottom="0" percent="0" rank="0" text="" dxfId="15">
      <formula>AND($B8&lt;&gt;"",COUNTIFS($B$8:$B$200,$B8,$O$8:$O$200,"&lt;&gt;Completed")=0)</formula>
    </cfRule>
  </conditionalFormatting>
  <conditionalFormatting sqref="D8:D5000">
    <cfRule type="expression" priority="18" aboveAverage="0" equalAverage="0" bottom="0" percent="0" rank="0" text="" dxfId="16">
      <formula>AND($D8&lt;&gt;"", COUNTIFS($D$8:$D$200,$D8,$O$8:$O$200,"Delayed")=0, COUNTIFS($D$8:$D$200,$D8,$O$8:$O$200,"At Risk")&gt;0)</formula>
    </cfRule>
    <cfRule type="expression" priority="19" aboveAverage="0" equalAverage="0" bottom="0" percent="0" rank="0" text="" dxfId="17">
      <formula>AND($D8&lt;&gt;"",COUNTIFS($D$8:$D$200,$D8,$O$8:$O$200,"Delayed")&gt;0)</formula>
    </cfRule>
    <cfRule type="expression" priority="20" aboveAverage="0" equalAverage="0" bottom="0" percent="0" rank="0" text="" dxfId="18">
      <formula>AND($D8&lt;&gt;"", COUNTIFS($D$8:$D$200,$D8,$O$8:$O$200,"Delayed")=0, COUNTIFS($D$8:$D$200,$D8,$O$8:$O$200,"In Progress")&gt;0)</formula>
    </cfRule>
    <cfRule type="expression" priority="21" aboveAverage="0" equalAverage="0" bottom="0" percent="0" rank="0" text="" dxfId="19">
      <formula>AND($D8&lt;&gt;"",COUNTIFS($D$8:$D$200,$D8,$O$8:$O$200,"&lt;&gt;Completed")=0)</formula>
    </cfRule>
  </conditionalFormatting>
  <conditionalFormatting sqref="E8:E5000">
    <cfRule type="expression" priority="22" aboveAverage="0" equalAverage="0" bottom="0" percent="0" rank="0" text="" dxfId="20">
      <formula>AND($E8&lt;&gt;"",COUNTIFS($E$8:$E$200,$E8,$O$8:$O$200,"At Risk")&gt;0)</formula>
    </cfRule>
    <cfRule type="expression" priority="23" aboveAverage="0" equalAverage="0" bottom="0" percent="0" rank="0" text="" dxfId="21">
      <formula>AND($E8&lt;&gt;"",COUNTIFS($E$8:$E$200,$E8,$O$8:$O$200,"Delayed")&gt;0)</formula>
    </cfRule>
    <cfRule type="expression" priority="24" aboveAverage="0" equalAverage="0" bottom="0" percent="0" rank="0" text="" dxfId="22">
      <formula>AND($E8&lt;&gt;"", COUNTIFS($E$8:$E$200,$E8,$O$8:$O$200,"In Progress")&gt;0, COUNTIFS($E$8:$E$200,$E8,$O$8:$O$200,"Completed")&lt;COUNTIFS($E$8:$E$200,$E8,$F$8:$F$200,"&lt;&gt;"))</formula>
    </cfRule>
    <cfRule type="expression" priority="25" aboveAverage="0" equalAverage="0" bottom="0" percent="0" rank="0" text="" dxfId="23">
      <formula>AND($E8&lt;&gt;"",COUNTIFS($E$8:$E$200,$E8,$O$8:$O$200,"&lt;&gt;Completed")=0)</formula>
    </cfRule>
  </conditionalFormatting>
  <conditionalFormatting sqref="N8:N5000">
    <cfRule type="dataBar" priority="26">
      <dataBar showValue="1" minLength="10" maxLength="90">
        <cfvo type="min" val="0"/>
        <cfvo type="max" val="0"/>
        <color rgb="FF4E95D9"/>
      </dataBar>
      <extLst>
        <ext xmlns:x14="http://schemas.microsoft.com/office/spreadsheetml/2009/9/main" uri="{B025F937-C7B1-47D3-B67F-A62EFF666E3E}">
          <x14:id>{F927B6CB-6846-42D3-8DE7-CE4773609A45}</x14:id>
        </ext>
      </extLst>
    </cfRule>
  </conditionalFormatting>
  <printOptions headings="false" gridLines="false" gridLinesSet="true" horizontalCentered="true" verticalCentered="false"/>
  <pageMargins left="0.35" right="0.35" top="0.35" bottom="0.347222222222222" header="0.511811023622047" footer="0.3"/>
  <pageSetup paperSize="1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27B6CB-6846-42D3-8DE7-CE4773609A45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N8:N5000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5" min="5" style="1" width="23.76"/>
    <col collapsed="false" customWidth="true" hidden="false" outlineLevel="0" max="6" min="6" style="1" width="24.5"/>
  </cols>
  <sheetData>
    <row r="3" customFormat="false" ht="14.25" hidden="false" customHeight="false" outlineLevel="0" collapsed="false">
      <c r="D3" s="1" t="s">
        <v>32</v>
      </c>
      <c r="E3" s="1" t="s">
        <v>33</v>
      </c>
    </row>
    <row r="5" customFormat="false" ht="14.25" hidden="false" customHeight="false" outlineLevel="0" collapsed="false">
      <c r="D5" s="49"/>
      <c r="E5" s="50" t="s">
        <v>34</v>
      </c>
      <c r="F5" s="50" t="s">
        <v>35</v>
      </c>
    </row>
    <row r="6" customFormat="false" ht="14.25" hidden="false" customHeight="false" outlineLevel="0" collapsed="false">
      <c r="D6" s="49"/>
      <c r="E6" s="50" t="s">
        <v>36</v>
      </c>
      <c r="F6" s="50" t="s">
        <v>37</v>
      </c>
    </row>
    <row r="7" customFormat="false" ht="14.25" hidden="false" customHeight="false" outlineLevel="0" collapsed="false">
      <c r="D7" s="49"/>
      <c r="E7" s="50" t="s">
        <v>38</v>
      </c>
      <c r="F7" s="50" t="s">
        <v>39</v>
      </c>
    </row>
    <row r="8" customFormat="false" ht="14.25" hidden="false" customHeight="false" outlineLevel="0" collapsed="false">
      <c r="D8" s="49"/>
      <c r="E8" s="50" t="s">
        <v>40</v>
      </c>
      <c r="F8" s="50" t="s">
        <v>37</v>
      </c>
    </row>
    <row r="9" customFormat="false" ht="14.25" hidden="false" customHeight="false" outlineLevel="0" collapsed="false">
      <c r="D9" s="49"/>
      <c r="E9" s="50" t="s">
        <v>41</v>
      </c>
      <c r="F9" s="50" t="s">
        <v>39</v>
      </c>
    </row>
    <row r="10" customFormat="false" ht="14.25" hidden="false" customHeight="false" outlineLevel="0" collapsed="false">
      <c r="D10" s="49"/>
      <c r="E10" s="50" t="s">
        <v>42</v>
      </c>
      <c r="F10" s="50" t="s">
        <v>37</v>
      </c>
    </row>
    <row r="11" customFormat="false" ht="14.25" hidden="false" customHeight="false" outlineLevel="0" collapsed="false">
      <c r="D11" s="49"/>
      <c r="E11" s="50" t="s">
        <v>43</v>
      </c>
      <c r="F11" s="50" t="s">
        <v>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2239A0-E68C-493F-BEE6-C77FEA397FD6}"/>
</file>

<file path=customXml/itemProps2.xml><?xml version="1.0" encoding="utf-8"?>
<ds:datastoreItem xmlns:ds="http://schemas.openxmlformats.org/officeDocument/2006/customXml" ds:itemID="{C2348D59-3426-404A-A0C5-6456F6613EDB}"/>
</file>

<file path=customXml/itemProps3.xml><?xml version="1.0" encoding="utf-8"?>
<ds:datastoreItem xmlns:ds="http://schemas.openxmlformats.org/officeDocument/2006/customXml" ds:itemID="{97245281-08F3-4104-84BD-39F3D8CFB195}"/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TotalTime>35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2026-04-16T07:39:30Z</dcterms:created>
  <dc:creator/>
  <dc:description/>
  <dc:language>en-IN</dc:language>
  <cp:lastModifiedBy/>
  <dcterms:modified xsi:type="dcterms:W3CDTF">2026-06-08T11:43:05Z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