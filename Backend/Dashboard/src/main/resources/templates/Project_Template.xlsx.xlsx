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codeName="ThisWorkbook"/>
  <mc:AlternateContent xmlns:mc="http://schemas.openxmlformats.org/markup-compatibility/2006">
    <mc:Choice Requires="x15">
      <x15ac:absPath xmlns:x15ac="http://schemas.microsoft.com/office/spreadsheetml/2010/11/ac" url="D:\Pranav.Kashikar@NV111\Project_Docs\Novillex_Project_Plan\"/>
    </mc:Choice>
  </mc:AlternateContent>
  <xr:revisionPtr revIDLastSave="2" documentId="13_ncr:1_{00E97541-A793-4256-B56B-26CC315019BB}" xr6:coauthVersionLast="47" xr6:coauthVersionMax="47" xr10:uidLastSave="{8C27641E-F269-401F-9B57-F83E05403424}"/>
  <bookViews>
    <workbookView xWindow="-120" yWindow="-120" windowWidth="20730" windowHeight="11160" firstSheet="1" activeTab="1" xr2:uid="{00000000-000D-0000-FFFF-FFFF00000000}"/>
  </bookViews>
  <sheets>
    <sheet name="Sheet4" sheetId="17" r:id="rId1"/>
    <sheet name="Project schedule" sheetId="11" r:id="rId2"/>
    <sheet name="Sheet1" sheetId="13" r:id="rId3"/>
  </sheets>
  <definedNames>
    <definedName name="_xlnm._FilterDatabase" localSheetId="1" hidden="1">'Project schedule'!$A$5:$P$105</definedName>
    <definedName name="Actual_End">'Project schedule'!$L$8</definedName>
    <definedName name="Display_Week">'Project schedule'!$Z$3</definedName>
    <definedName name="Planned_End">'Project schedule'!$J$8</definedName>
    <definedName name="_xlnm.Print_Titles" localSheetId="1">'Project schedule'!$5:$7</definedName>
    <definedName name="Progress">'Project schedule'!$N$8</definedName>
    <definedName name="Project_Start">'Project schedule'!$Z$2</definedName>
    <definedName name="task_end" localSheetId="1">'Project schedule'!$L1</definedName>
    <definedName name="task_progress" localSheetId="1">'Project schedule'!$E1</definedName>
    <definedName name="task_start" localSheetId="1">'Project schedule'!$K1</definedName>
    <definedName name="today" localSheetId="1">TODAY()</definedName>
  </definedNames>
  <calcPr calcId="191028"/>
  <pivotCaches>
    <pivotCache cacheId="57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4" i="11" l="1"/>
  <c r="O84" i="11"/>
  <c r="P84" i="11"/>
  <c r="M64" i="11"/>
  <c r="O64" i="11"/>
  <c r="P64" i="11"/>
  <c r="M29" i="11"/>
  <c r="O29" i="11"/>
  <c r="P29" i="11"/>
  <c r="P9" i="11" l="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3" i="11"/>
  <c r="P44" i="11"/>
  <c r="P45" i="11"/>
  <c r="P46" i="11"/>
  <c r="P47" i="11"/>
  <c r="P48" i="11"/>
  <c r="P49" i="11"/>
  <c r="P50" i="11"/>
  <c r="P51" i="11"/>
  <c r="P52" i="11"/>
  <c r="P53" i="11"/>
  <c r="P54" i="11"/>
  <c r="P55" i="11"/>
  <c r="P56" i="11"/>
  <c r="P57" i="11"/>
  <c r="P58" i="11"/>
  <c r="P59" i="11"/>
  <c r="P60" i="11"/>
  <c r="P61" i="11"/>
  <c r="P62" i="11"/>
  <c r="P63" i="11"/>
  <c r="P65" i="11"/>
  <c r="P66" i="11"/>
  <c r="P67" i="11"/>
  <c r="P68" i="11"/>
  <c r="P69" i="11"/>
  <c r="P70" i="11"/>
  <c r="P71" i="11"/>
  <c r="P72" i="11"/>
  <c r="P73" i="11"/>
  <c r="P74" i="11"/>
  <c r="P75" i="11"/>
  <c r="P76" i="11"/>
  <c r="P77" i="11"/>
  <c r="P78" i="11"/>
  <c r="P79" i="11"/>
  <c r="P80" i="11"/>
  <c r="P81" i="11"/>
  <c r="P82" i="11"/>
  <c r="P83" i="11"/>
  <c r="P85" i="11"/>
  <c r="P86" i="11"/>
  <c r="P87" i="11"/>
  <c r="P88" i="11"/>
  <c r="P89" i="11"/>
  <c r="P90" i="11"/>
  <c r="P91" i="11"/>
  <c r="P92" i="11"/>
  <c r="P93" i="11"/>
  <c r="P94" i="11"/>
  <c r="P95" i="11"/>
  <c r="P96" i="11"/>
  <c r="P97" i="11"/>
  <c r="P98" i="11"/>
  <c r="P99" i="11"/>
  <c r="P100" i="11"/>
  <c r="P101" i="11"/>
  <c r="P102" i="11"/>
  <c r="P103" i="11"/>
  <c r="P104" i="11"/>
  <c r="P105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8" i="11"/>
  <c r="M9" i="11"/>
  <c r="M10" i="11"/>
  <c r="P10" i="11" s="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8" i="11"/>
  <c r="P8" i="11" s="1"/>
  <c r="A9" i="11" l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l="1"/>
  <c r="R6" i="11"/>
  <c r="R7" i="11" s="1"/>
  <c r="A30" i="11" l="1"/>
  <c r="S6" i="11"/>
  <c r="T6" i="11" s="1"/>
  <c r="U6" i="11" s="1"/>
  <c r="V6" i="11" s="1"/>
  <c r="W6" i="11" s="1"/>
  <c r="X6" i="11" s="1"/>
  <c r="Y6" i="11" s="1"/>
  <c r="R5" i="11"/>
  <c r="A31" i="11" l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Y5" i="11"/>
  <c r="Z6" i="11"/>
  <c r="AA6" i="11" s="1"/>
  <c r="AB6" i="11" s="1"/>
  <c r="AC6" i="11" s="1"/>
  <c r="AD6" i="11" s="1"/>
  <c r="AE6" i="11" s="1"/>
  <c r="AF6" i="11" s="1"/>
  <c r="S7" i="11"/>
  <c r="A59" i="11" l="1"/>
  <c r="A60" i="11" s="1"/>
  <c r="A61" i="11" s="1"/>
  <c r="A62" i="11" s="1"/>
  <c r="A63" i="11" s="1"/>
  <c r="AF5" i="11"/>
  <c r="AG6" i="11"/>
  <c r="AH6" i="11" s="1"/>
  <c r="AI6" i="11" s="1"/>
  <c r="AJ6" i="11" s="1"/>
  <c r="AK6" i="11" s="1"/>
  <c r="AL6" i="11" s="1"/>
  <c r="AM6" i="11" s="1"/>
  <c r="T7" i="11"/>
  <c r="A65" i="11" l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64" i="11"/>
  <c r="AN6" i="11"/>
  <c r="AO6" i="11" s="1"/>
  <c r="AP6" i="11" s="1"/>
  <c r="AQ6" i="11" s="1"/>
  <c r="AR6" i="11" s="1"/>
  <c r="AS6" i="11" s="1"/>
  <c r="AM5" i="11"/>
  <c r="U7" i="11"/>
  <c r="A85" i="11" l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84" i="11"/>
  <c r="AT6" i="11"/>
  <c r="AU6" i="11" s="1"/>
  <c r="AV6" i="11" s="1"/>
  <c r="AW6" i="11" s="1"/>
  <c r="AX6" i="11" s="1"/>
  <c r="AY6" i="11" s="1"/>
  <c r="AZ6" i="11" s="1"/>
  <c r="V7" i="11"/>
  <c r="BA6" i="11" l="1"/>
  <c r="BB6" i="11" s="1"/>
  <c r="AT5" i="11"/>
  <c r="W7" i="11"/>
  <c r="BC6" i="11" l="1"/>
  <c r="BB7" i="11"/>
  <c r="BA5" i="11"/>
  <c r="X7" i="11"/>
  <c r="BD6" i="11" l="1"/>
  <c r="BC7" i="11"/>
  <c r="BE6" i="11" l="1"/>
  <c r="BD7" i="11"/>
  <c r="Y7" i="11"/>
  <c r="Z7" i="11"/>
  <c r="BF6" i="11" l="1"/>
  <c r="BE7" i="11"/>
  <c r="AA7" i="11"/>
  <c r="BG6" i="11" l="1"/>
  <c r="BH6" i="11" s="1"/>
  <c r="BF7" i="11"/>
  <c r="AB7" i="11"/>
  <c r="BH7" i="11" l="1"/>
  <c r="BI6" i="11"/>
  <c r="BH5" i="11"/>
  <c r="BG7" i="11"/>
  <c r="AC7" i="11"/>
  <c r="BJ6" i="11" l="1"/>
  <c r="BI7" i="11"/>
  <c r="AD7" i="11"/>
  <c r="BJ7" i="11" l="1"/>
  <c r="BK6" i="11"/>
  <c r="AE7" i="11"/>
  <c r="BK7" i="11" l="1"/>
  <c r="BL6" i="11"/>
  <c r="AF7" i="11"/>
  <c r="BL7" i="11" l="1"/>
  <c r="BM6" i="11"/>
  <c r="AG7" i="11"/>
  <c r="BN6" i="11" l="1"/>
  <c r="BM7" i="11"/>
  <c r="AH7" i="11"/>
  <c r="BN7" i="11" l="1"/>
  <c r="BO6" i="11"/>
  <c r="AI7" i="11"/>
  <c r="BO7" i="11" l="1"/>
  <c r="BP6" i="11"/>
  <c r="BO5" i="11"/>
  <c r="AJ7" i="11"/>
  <c r="BP7" i="11" l="1"/>
  <c r="BQ6" i="11"/>
  <c r="AK7" i="11"/>
  <c r="BR6" i="11" l="1"/>
  <c r="BQ7" i="11"/>
  <c r="AL7" i="11"/>
  <c r="BS6" i="11" l="1"/>
  <c r="BR7" i="11"/>
  <c r="AM7" i="11"/>
  <c r="BT6" i="11" l="1"/>
  <c r="BS7" i="11"/>
  <c r="AN7" i="11"/>
  <c r="BU6" i="11" l="1"/>
  <c r="BT7" i="11"/>
  <c r="AO7" i="11"/>
  <c r="BU7" i="11" l="1"/>
  <c r="AP7" i="11"/>
  <c r="AQ7" i="11" l="1"/>
  <c r="AR7" i="11" l="1"/>
  <c r="AS7" i="11" l="1"/>
  <c r="AT7" i="11" l="1"/>
  <c r="AU7" i="11" l="1"/>
  <c r="AV7" i="11" l="1"/>
  <c r="AW7" i="11" l="1"/>
  <c r="AX7" i="11" l="1"/>
  <c r="AY7" i="11" l="1"/>
  <c r="AZ7" i="11" l="1"/>
  <c r="BA7" i="11" l="1"/>
</calcChain>
</file>

<file path=xl/sharedStrings.xml><?xml version="1.0" encoding="utf-8"?>
<sst xmlns="http://schemas.openxmlformats.org/spreadsheetml/2006/main" count="931" uniqueCount="238">
  <si>
    <t>Sr. No.</t>
  </si>
  <si>
    <t>Milestone</t>
  </si>
  <si>
    <t>Task</t>
  </si>
  <si>
    <t>Sub-Task</t>
  </si>
  <si>
    <t>Activity</t>
  </si>
  <si>
    <t>Project Initiation &amp; Governance</t>
  </si>
  <si>
    <t>Project Kickoff</t>
  </si>
  <si>
    <t>Kickoff Meeting</t>
  </si>
  <si>
    <t>Introduce stakeholders</t>
  </si>
  <si>
    <t>Define scope objectives success criteria</t>
  </si>
  <si>
    <t>Identify stakeholders Business IT Ops Finance</t>
  </si>
  <si>
    <t>Governance Setup</t>
  </si>
  <si>
    <t>Governance Model</t>
  </si>
  <si>
    <t>Steering committee formation</t>
  </si>
  <si>
    <t>Define escalation matrix</t>
  </si>
  <si>
    <t>Define approval hierarchy</t>
  </si>
  <si>
    <t>Project Planning</t>
  </si>
  <si>
    <t>Implementation Planning</t>
  </si>
  <si>
    <t>Define timelines milestones</t>
  </si>
  <si>
    <t>Resource allocation Bank Vendor</t>
  </si>
  <si>
    <t>Risk identification</t>
  </si>
  <si>
    <t>Communication Setup</t>
  </si>
  <si>
    <t>Reporting Framework</t>
  </si>
  <si>
    <t>Define reporting cadence</t>
  </si>
  <si>
    <t>Setup status templates</t>
  </si>
  <si>
    <t>Define escalation reporting</t>
  </si>
  <si>
    <t>Data Migration – Iteration 1</t>
  </si>
  <si>
    <t>Data Understanding</t>
  </si>
  <si>
    <t>Source Analysis</t>
  </si>
  <si>
    <t>Study legacy CBS</t>
  </si>
  <si>
    <t>Identify data sources</t>
  </si>
  <si>
    <t>History Data Migration</t>
  </si>
  <si>
    <t>Data Mapping</t>
  </si>
  <si>
    <t>Mapping Definition</t>
  </si>
  <si>
    <t>Map legacy to CBS fields</t>
  </si>
  <si>
    <t>Define transformation logic</t>
  </si>
  <si>
    <t>Data Cleansing</t>
  </si>
  <si>
    <t>Data Quality</t>
  </si>
  <si>
    <t>Remove duplicates</t>
  </si>
  <si>
    <t>Correct inconsistencies</t>
  </si>
  <si>
    <t>Migration Execution</t>
  </si>
  <si>
    <t>Trial Migration</t>
  </si>
  <si>
    <t>Load customer data</t>
  </si>
  <si>
    <t>Load account data</t>
  </si>
  <si>
    <t>Load Transaction data</t>
  </si>
  <si>
    <t>Validation &amp; Reconciliation</t>
  </si>
  <si>
    <t>Data Validation</t>
  </si>
  <si>
    <t>Migrated Data Validation*</t>
  </si>
  <si>
    <t>Financial Validation</t>
  </si>
  <si>
    <t>Financial Report Validation*</t>
  </si>
  <si>
    <t>Exception identification</t>
  </si>
  <si>
    <t>Requirement Validation &amp; Gap Analysis</t>
  </si>
  <si>
    <t>Requirement Workshops</t>
  </si>
  <si>
    <t>Core Modules</t>
  </si>
  <si>
    <t>Core Module List*</t>
  </si>
  <si>
    <t>Digital Channels</t>
  </si>
  <si>
    <t>Digital Channel Module List*</t>
  </si>
  <si>
    <t>Integration Requirements</t>
  </si>
  <si>
    <t>NPCI Rails</t>
  </si>
  <si>
    <t>UPI IMPS NACH AEPS NFS BBPS FASTag</t>
  </si>
  <si>
    <t>RBI Systems</t>
  </si>
  <si>
    <t>NEFT RTGS</t>
  </si>
  <si>
    <t>Government Systems</t>
  </si>
  <si>
    <t>PFMS DBT CBDT</t>
  </si>
  <si>
    <t>Switch &amp; Channels</t>
  </si>
  <si>
    <t>ATM POS UPI IMPS routing</t>
  </si>
  <si>
    <t>Mandate</t>
  </si>
  <si>
    <t>eNACH registration debit lifecycle</t>
  </si>
  <si>
    <t>Gap Analysis</t>
  </si>
  <si>
    <t>Gap Identification</t>
  </si>
  <si>
    <t>Identify gaps</t>
  </si>
  <si>
    <t>Gap Prioritization</t>
  </si>
  <si>
    <t>Categorize gaps</t>
  </si>
  <si>
    <t>Sign-off</t>
  </si>
  <si>
    <t>Approval</t>
  </si>
  <si>
    <t>Requirement gap sign-off</t>
  </si>
  <si>
    <t>Solution Design &amp; Configuration</t>
  </si>
  <si>
    <t>Solution Design</t>
  </si>
  <si>
    <t>Architecture Design</t>
  </si>
  <si>
    <t>CBS architecture</t>
  </si>
  <si>
    <t>Integration architecture (third party vendor)</t>
  </si>
  <si>
    <t>Product Configuration</t>
  </si>
  <si>
    <t>Setup</t>
  </si>
  <si>
    <t>Product Checklist*</t>
  </si>
  <si>
    <t>Accounting Setup</t>
  </si>
  <si>
    <t>GL Product Setup</t>
  </si>
  <si>
    <t>GL mapping interest charges*</t>
  </si>
  <si>
    <t>Integration Design</t>
  </si>
  <si>
    <t>NPCI Design</t>
  </si>
  <si>
    <t>API file structure sponsor bank</t>
  </si>
  <si>
    <t>RBI Design</t>
  </si>
  <si>
    <t>NEFT RTGS design</t>
  </si>
  <si>
    <t>Switch Design</t>
  </si>
  <si>
    <t>Government Design</t>
  </si>
  <si>
    <t>PFMS DBT flows</t>
  </si>
  <si>
    <t>Settlement Design</t>
  </si>
  <si>
    <t>Reconciliation</t>
  </si>
  <si>
    <t>Settlement flows reconciliation</t>
  </si>
  <si>
    <t>Mandate Design</t>
  </si>
  <si>
    <t>Lifecycle</t>
  </si>
  <si>
    <t>Registration execution cancellation</t>
  </si>
  <si>
    <t>Development &amp; Gap Closure</t>
  </si>
  <si>
    <t>Core Development</t>
  </si>
  <si>
    <t>Gap Development</t>
  </si>
  <si>
    <t>Critical high gaps</t>
  </si>
  <si>
    <t>Integration Development</t>
  </si>
  <si>
    <t>NPCI</t>
  </si>
  <si>
    <t>UPI IMPS NACH AEPS</t>
  </si>
  <si>
    <t>RBI</t>
  </si>
  <si>
    <t>Switch</t>
  </si>
  <si>
    <t>ATM POS UPI IMPS</t>
  </si>
  <si>
    <t>Government</t>
  </si>
  <si>
    <t>Mandate Engine</t>
  </si>
  <si>
    <t>Development</t>
  </si>
  <si>
    <t>Registration validation execution</t>
  </si>
  <si>
    <t>Testing (QA + SIT)</t>
  </si>
  <si>
    <t>Test Planning</t>
  </si>
  <si>
    <t>Strategy</t>
  </si>
  <si>
    <t>Test strategy test cases</t>
  </si>
  <si>
    <t>Functional Testing</t>
  </si>
  <si>
    <t>CBS</t>
  </si>
  <si>
    <t>Core Module + Functionalities List*</t>
  </si>
  <si>
    <t>Integration Testing</t>
  </si>
  <si>
    <t>UPI IMPS NACH</t>
  </si>
  <si>
    <t>ATM POS</t>
  </si>
  <si>
    <t>Third Party Vendor</t>
  </si>
  <si>
    <t>Settlement Testing</t>
  </si>
  <si>
    <t>Validation</t>
  </si>
  <si>
    <t>Settlement GL Transactions</t>
  </si>
  <si>
    <t>Failure Testing</t>
  </si>
  <si>
    <t>Scenarios</t>
  </si>
  <si>
    <t>Timeout reversal duplicate</t>
  </si>
  <si>
    <t>Training</t>
  </si>
  <si>
    <t>Training Preparation</t>
  </si>
  <si>
    <t>Material</t>
  </si>
  <si>
    <t>Training materials SOP</t>
  </si>
  <si>
    <t>Training Execution</t>
  </si>
  <si>
    <t>Users</t>
  </si>
  <si>
    <t>Branch operations</t>
  </si>
  <si>
    <t>Technical</t>
  </si>
  <si>
    <t>IT admin</t>
  </si>
  <si>
    <t>UAT- 1 (Bank Level)</t>
  </si>
  <si>
    <t>UAT Planning</t>
  </si>
  <si>
    <t>Define scope users</t>
  </si>
  <si>
    <t>UAT Execution</t>
  </si>
  <si>
    <t>Core Banking</t>
  </si>
  <si>
    <t>Channels</t>
  </si>
  <si>
    <t>Payments</t>
  </si>
  <si>
    <t>UPI IMPS NACH NEFT RTGS AEPS CTS</t>
  </si>
  <si>
    <t>PFMS DBT</t>
  </si>
  <si>
    <t>Registration execution</t>
  </si>
  <si>
    <t>Settlement</t>
  </si>
  <si>
    <t>GL reconciliation exception</t>
  </si>
  <si>
    <t>Reporting</t>
  </si>
  <si>
    <t>Regulatory MIS*</t>
  </si>
  <si>
    <t>Issue Resolution</t>
  </si>
  <si>
    <t>Fixes</t>
  </si>
  <si>
    <t>Resolve defects revalidation</t>
  </si>
  <si>
    <t>Branch Ops Finance IT final</t>
  </si>
  <si>
    <t>Data Migration – Iteration 2</t>
  </si>
  <si>
    <t>Migration</t>
  </si>
  <si>
    <t>Execution</t>
  </si>
  <si>
    <t>Reload corrected data</t>
  </si>
  <si>
    <t>Final</t>
  </si>
  <si>
    <t>UAT- 2 (High Level)</t>
  </si>
  <si>
    <t>End to End</t>
  </si>
  <si>
    <t>Full system validation</t>
  </si>
  <si>
    <t>MIS regulatory</t>
  </si>
  <si>
    <t>One Day Voucher Posting</t>
  </si>
  <si>
    <t>Business approval</t>
  </si>
  <si>
    <t>Go-Live Readiness &amp; Sign-Off</t>
  </si>
  <si>
    <t>Infra readiness</t>
  </si>
  <si>
    <t>Data</t>
  </si>
  <si>
    <t>Migration approval</t>
  </si>
  <si>
    <t>Application</t>
  </si>
  <si>
    <t>System validation</t>
  </si>
  <si>
    <t>Integration</t>
  </si>
  <si>
    <t>NPCI RBI Switch validation</t>
  </si>
  <si>
    <t>Business</t>
  </si>
  <si>
    <t>User readiness</t>
  </si>
  <si>
    <t>Compliance</t>
  </si>
  <si>
    <t>Regulatory validation</t>
  </si>
  <si>
    <t>Go-live approval</t>
  </si>
  <si>
    <t xml:space="preserve">Go-Live </t>
  </si>
  <si>
    <t>Production Data Restore</t>
  </si>
  <si>
    <t>Activation</t>
  </si>
  <si>
    <t>Enable accounts transactions</t>
  </si>
  <si>
    <t>Mobile Internet APIs</t>
  </si>
  <si>
    <t>Monitoring</t>
  </si>
  <si>
    <t>Transactions</t>
  </si>
  <si>
    <t>Validate transactions</t>
  </si>
  <si>
    <t>Support</t>
  </si>
  <si>
    <t>Issue Handling</t>
  </si>
  <si>
    <t>Resolve issues</t>
  </si>
  <si>
    <t>Post Go-Live Stabilization</t>
  </si>
  <si>
    <t>Hypercare</t>
  </si>
  <si>
    <t>Onsite support</t>
  </si>
  <si>
    <t>Performance</t>
  </si>
  <si>
    <t>System monitoring</t>
  </si>
  <si>
    <t>Resolution</t>
  </si>
  <si>
    <t>Bug fixing</t>
  </si>
  <si>
    <t>Closure</t>
  </si>
  <si>
    <t>Documentation</t>
  </si>
  <si>
    <t>Closure lessons learned</t>
  </si>
  <si>
    <t>(blank)</t>
  </si>
  <si>
    <t>Novillex Technologies Pvt Ltd.</t>
  </si>
  <si>
    <t>Name of Bank:</t>
  </si>
  <si>
    <t>Deogiri Nagari Sahakari Bank Ltd.,</t>
  </si>
  <si>
    <t>Project Start Date</t>
  </si>
  <si>
    <t>Name of Project:</t>
  </si>
  <si>
    <t>Deogiri Sarathi</t>
  </si>
  <si>
    <t>Display week:</t>
  </si>
  <si>
    <t>Project Manager:</t>
  </si>
  <si>
    <t>Manoj Kulkarni / Pranav Kashilkar</t>
  </si>
  <si>
    <t>Phase</t>
  </si>
  <si>
    <t>Owner</t>
  </si>
  <si>
    <t>Estimated Period 
(in week)</t>
  </si>
  <si>
    <t>Planned Start Date</t>
  </si>
  <si>
    <t>Planned 
End Date</t>
  </si>
  <si>
    <t>Actual 
Start Date</t>
  </si>
  <si>
    <t>Actual 
End Date</t>
  </si>
  <si>
    <t>Actual
Period
(in week)</t>
  </si>
  <si>
    <t>Progress</t>
  </si>
  <si>
    <t>Execution Status</t>
  </si>
  <si>
    <t>Schedule Health</t>
  </si>
  <si>
    <t>Phase-1</t>
  </si>
  <si>
    <t>Font</t>
  </si>
  <si>
    <t>Cambria</t>
  </si>
  <si>
    <t>Chart/Graph</t>
  </si>
  <si>
    <t>Requirement</t>
  </si>
  <si>
    <t>Task wise Bar chart</t>
  </si>
  <si>
    <t>Planned vs Achieved</t>
  </si>
  <si>
    <t>Task wise Doughnut chart</t>
  </si>
  <si>
    <t>Doughnut Graft with Percentage</t>
  </si>
  <si>
    <t>Phase Wise Bar Chart</t>
  </si>
  <si>
    <t>Phase wise Doughnut chart</t>
  </si>
  <si>
    <t>Overall Bar chart</t>
  </si>
  <si>
    <t>Overall Doughnut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</si>
</sst>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(* #,##0.00_);_(* \(#,##0.00\);_(* &quot;-&quot;??_);_(@_)"/>
    <numFmt numFmtId="164" formatCode="m/d/yy;@"/>
    <numFmt numFmtId="165" formatCode="ddd\,\ m/d/yyyy"/>
    <numFmt numFmtId="166" formatCode="d"/>
    <numFmt numFmtId="167" formatCode="[$-809]dd\ mmmm\ yyyy;@"/>
    <numFmt numFmtId="168" formatCode="[$-409]d/mmm/yy;@"/>
    <numFmt numFmtId="169" formatCode="0.0"/>
  </numFmts>
  <fonts count="17">
    <font>
      <sz val="11"/>
      <color theme="1"/>
      <name val="Arial"/>
      <family val="2"/>
      <scheme val="minor"/>
    </font>
    <font>
      <u/>
      <sz val="11"/>
      <color indexed="12"/>
      <name val="Arial"/>
      <family val="2"/>
    </font>
    <font>
      <sz val="11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22"/>
      <color theme="1" tint="0.34998626667073579"/>
      <name val="Arial Black"/>
      <family val="2"/>
      <scheme val="major"/>
    </font>
    <font>
      <sz val="11"/>
      <color theme="0"/>
      <name val="Arial"/>
      <family val="2"/>
      <scheme val="minor"/>
    </font>
    <font>
      <sz val="11"/>
      <color theme="1"/>
      <name val="Cambria"/>
      <family val="1"/>
    </font>
    <font>
      <b/>
      <sz val="12"/>
      <name val="Cambria"/>
      <family val="1"/>
    </font>
    <font>
      <b/>
      <sz val="11"/>
      <name val="Cambria"/>
      <family val="1"/>
    </font>
    <font>
      <sz val="10"/>
      <color theme="1"/>
      <name val="Cambria"/>
      <family val="1"/>
    </font>
    <font>
      <sz val="11"/>
      <name val="Cambria"/>
      <family val="1"/>
    </font>
    <font>
      <b/>
      <sz val="12"/>
      <color theme="1"/>
      <name val="Cambria"/>
      <family val="1"/>
    </font>
    <font>
      <b/>
      <sz val="14"/>
      <name val="Cambria"/>
      <family val="1"/>
    </font>
    <font>
      <b/>
      <sz val="11"/>
      <color theme="0"/>
      <name val="Cambria"/>
      <family val="1"/>
    </font>
    <font>
      <sz val="12"/>
      <color theme="1"/>
      <name val="Cambria"/>
      <family val="1"/>
    </font>
    <font>
      <sz val="12"/>
      <name val="Cambria"/>
      <family val="1"/>
    </font>
    <font>
      <sz val="12"/>
      <color theme="0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3" tint="0.749961851863155"/>
      </left>
      <right style="thin">
        <color theme="3" tint="0.749961851863155"/>
      </right>
      <top/>
      <bottom style="thin">
        <color theme="3" tint="0.749961851863155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  <xf numFmtId="0" fontId="5" fillId="0" borderId="0"/>
    <xf numFmtId="43" fontId="2" fillId="0" borderId="2" applyFont="0" applyFill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Alignment="0" applyProtection="0"/>
    <xf numFmtId="0" fontId="3" fillId="0" borderId="0" applyNumberFormat="0" applyFill="0" applyProtection="0">
      <alignment vertical="top"/>
    </xf>
    <xf numFmtId="0" fontId="2" fillId="0" borderId="0" applyNumberFormat="0" applyFill="0" applyProtection="0">
      <alignment horizontal="right" indent="1"/>
    </xf>
    <xf numFmtId="165" fontId="2" fillId="0" borderId="2">
      <alignment horizontal="center" vertical="center"/>
    </xf>
    <xf numFmtId="164" fontId="2" fillId="0" borderId="1" applyFill="0">
      <alignment horizontal="center" vertical="center"/>
    </xf>
    <xf numFmtId="0" fontId="2" fillId="0" borderId="1" applyFill="0">
      <alignment horizontal="center" vertical="center"/>
    </xf>
    <xf numFmtId="0" fontId="2" fillId="0" borderId="1" applyFill="0">
      <alignment horizontal="left" vertical="center" indent="2"/>
    </xf>
  </cellStyleXfs>
  <cellXfs count="56">
    <xf numFmtId="0" fontId="0" fillId="0" borderId="0" xfId="0"/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vertical="center" wrapText="1"/>
    </xf>
    <xf numFmtId="0" fontId="13" fillId="0" borderId="0" xfId="3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66" fontId="7" fillId="5" borderId="6" xfId="0" applyNumberFormat="1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 shrinkToFit="1"/>
    </xf>
    <xf numFmtId="0" fontId="16" fillId="0" borderId="0" xfId="3" applyFont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7" xfId="11" applyFont="1" applyFill="1" applyBorder="1">
      <alignment horizontal="center" vertical="center"/>
    </xf>
    <xf numFmtId="168" fontId="10" fillId="0" borderId="7" xfId="11" applyNumberFormat="1" applyFont="1" applyFill="1" applyBorder="1">
      <alignment horizontal="center" vertical="center"/>
    </xf>
    <xf numFmtId="9" fontId="10" fillId="0" borderId="7" xfId="2" applyFont="1" applyFill="1" applyBorder="1" applyAlignment="1">
      <alignment vertical="center"/>
    </xf>
    <xf numFmtId="0" fontId="6" fillId="0" borderId="7" xfId="0" applyFont="1" applyBorder="1" applyAlignment="1">
      <alignment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7" xfId="1" applyFont="1" applyFill="1" applyBorder="1" applyAlignment="1" applyProtection="1">
      <alignment horizontal="center" vertical="center"/>
    </xf>
    <xf numFmtId="0" fontId="6" fillId="0" borderId="7" xfId="0" applyFont="1" applyBorder="1" applyAlignment="1">
      <alignment horizontal="center" vertical="center"/>
    </xf>
    <xf numFmtId="169" fontId="9" fillId="0" borderId="7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0" fillId="0" borderId="0" xfId="0" pivotButton="1"/>
    <xf numFmtId="0" fontId="0" fillId="0" borderId="6" xfId="0" applyBorder="1"/>
    <xf numFmtId="0" fontId="12" fillId="4" borderId="0" xfId="3" applyFont="1" applyFill="1" applyAlignment="1">
      <alignment horizontal="center" vertical="center"/>
    </xf>
    <xf numFmtId="0" fontId="7" fillId="3" borderId="9" xfId="3" applyFont="1" applyFill="1" applyBorder="1" applyAlignment="1">
      <alignment horizontal="left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7" fillId="0" borderId="10" xfId="8" applyFont="1" applyBorder="1" applyAlignment="1">
      <alignment horizontal="left" vertical="center"/>
    </xf>
    <xf numFmtId="0" fontId="11" fillId="7" borderId="8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vertical="center" wrapText="1"/>
    </xf>
    <xf numFmtId="0" fontId="15" fillId="3" borderId="9" xfId="3" applyFont="1" applyFill="1" applyBorder="1" applyAlignment="1">
      <alignment horizontal="right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 wrapText="1"/>
    </xf>
    <xf numFmtId="0" fontId="7" fillId="9" borderId="7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 wrapText="1"/>
    </xf>
    <xf numFmtId="0" fontId="11" fillId="9" borderId="7" xfId="0" applyFont="1" applyFill="1" applyBorder="1" applyAlignment="1">
      <alignment horizontal="center" vertical="center" wrapText="1"/>
    </xf>
    <xf numFmtId="0" fontId="7" fillId="3" borderId="12" xfId="3" applyFont="1" applyFill="1" applyBorder="1" applyAlignment="1">
      <alignment horizontal="left" vertical="center"/>
    </xf>
    <xf numFmtId="0" fontId="7" fillId="3" borderId="13" xfId="3" applyFont="1" applyFill="1" applyBorder="1" applyAlignment="1">
      <alignment horizontal="left" vertical="center"/>
    </xf>
    <xf numFmtId="0" fontId="7" fillId="3" borderId="14" xfId="3" applyFont="1" applyFill="1" applyBorder="1" applyAlignment="1">
      <alignment horizontal="left" vertical="center"/>
    </xf>
    <xf numFmtId="0" fontId="7" fillId="9" borderId="8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167" fontId="8" fillId="0" borderId="4" xfId="11" applyNumberFormat="1" applyFont="1" applyFill="1" applyBorder="1" applyAlignment="1">
      <alignment horizontal="center" vertical="center"/>
    </xf>
    <xf numFmtId="167" fontId="8" fillId="0" borderId="5" xfId="11" applyNumberFormat="1" applyFont="1" applyFill="1" applyBorder="1" applyAlignment="1">
      <alignment horizontal="center" vertical="center"/>
    </xf>
    <xf numFmtId="167" fontId="8" fillId="0" borderId="3" xfId="11" applyNumberFormat="1" applyFont="1" applyFill="1" applyBorder="1" applyAlignment="1">
      <alignment horizontal="center" vertical="center"/>
    </xf>
    <xf numFmtId="167" fontId="7" fillId="2" borderId="11" xfId="11" applyNumberFormat="1" applyFont="1" applyFill="1" applyBorder="1" applyAlignment="1">
      <alignment horizontal="center" vertical="center"/>
    </xf>
    <xf numFmtId="167" fontId="10" fillId="0" borderId="0" xfId="11" applyNumberFormat="1" applyFont="1" applyFill="1" applyBorder="1" applyAlignment="1">
      <alignment horizontal="center" vertical="center"/>
    </xf>
  </cellXfs>
  <cellStyles count="13">
    <cellStyle name="Comma" xfId="4" builtinId="3" customBuiltin="1"/>
    <cellStyle name="Date" xfId="10" xr:uid="{00000000-0005-0000-0000-000001000000}"/>
    <cellStyle name="Heading 1" xfId="6" builtinId="16" customBuiltin="1"/>
    <cellStyle name="Heading 2" xfId="7" builtinId="17" customBuiltin="1"/>
    <cellStyle name="Heading 3" xfId="8" builtinId="18" customBuiltin="1"/>
    <cellStyle name="Hyperlink" xfId="1" builtinId="8" customBuiltin="1"/>
    <cellStyle name="Name" xfId="11" xr:uid="{00000000-0005-0000-0000-000006000000}"/>
    <cellStyle name="Normal" xfId="0" builtinId="0"/>
    <cellStyle name="Percent" xfId="2" builtinId="5"/>
    <cellStyle name="Project Start" xfId="9" xr:uid="{00000000-0005-0000-0000-000009000000}"/>
    <cellStyle name="Task" xfId="12" xr:uid="{00000000-0005-0000-0000-00000A000000}"/>
    <cellStyle name="Title" xfId="5" builtinId="15" customBuiltin="1"/>
    <cellStyle name="zHiddenText" xfId="3" xr:uid="{00000000-0005-0000-0000-00000C000000}"/>
  </cellStyles>
  <dxfs count="37">
    <dxf>
      <fill>
        <patternFill>
          <bgColor rgb="FF92D050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FF8264"/>
        </patternFill>
      </fill>
    </dxf>
    <dxf>
      <fill>
        <patternFill>
          <bgColor rgb="FF92D050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FF8264"/>
        </patternFill>
      </fill>
    </dxf>
    <dxf>
      <fill>
        <patternFill>
          <bgColor rgb="FF92D050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FF8264"/>
        </patternFill>
      </fill>
    </dxf>
    <dxf>
      <fill>
        <patternFill>
          <bgColor rgb="FF92D050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FF8264"/>
        </patternFill>
      </fill>
    </dxf>
    <dxf>
      <fill>
        <patternFill>
          <bgColor theme="3" tint="0.24994659260841701"/>
        </patternFill>
      </fill>
      <border>
        <left/>
        <right/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3" tint="0.749961851863155"/>
        </patternFill>
      </fill>
      <border>
        <top style="thin">
          <color theme="0" tint="-4.9989318521683403E-2"/>
        </top>
        <bottom style="thin">
          <color theme="0" tint="-4.9989318521683403E-2"/>
        </bottom>
      </border>
    </dxf>
    <dxf>
      <border>
        <left style="thin">
          <color theme="5"/>
        </left>
        <right style="thin">
          <color theme="5"/>
        </right>
        <vertical/>
        <horizontal/>
      </border>
    </dxf>
    <dxf>
      <fill>
        <patternFill>
          <bgColor theme="8" tint="0.39994506668294322"/>
        </patternFill>
      </fill>
    </dxf>
    <dxf>
      <font>
        <color auto="1"/>
      </font>
      <fill>
        <patternFill patternType="solid">
          <bgColor rgb="FF92D050"/>
        </patternFill>
      </fill>
    </dxf>
    <dxf>
      <fill>
        <patternFill>
          <bgColor rgb="FFFF8264"/>
        </patternFill>
      </fill>
    </dxf>
    <dxf>
      <fill>
        <patternFill>
          <bgColor rgb="FF92D050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FF8264"/>
        </patternFill>
      </fill>
    </dxf>
    <dxf>
      <fill>
        <patternFill>
          <bgColor rgb="FF92D050"/>
        </patternFill>
      </fill>
    </dxf>
    <dxf>
      <fill>
        <patternFill>
          <bgColor theme="3" tint="0.749961851863155"/>
        </patternFill>
      </fill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oDoList" pivot="0" count="9" xr9:uid="{00000000-0011-0000-FFFF-FFFF00000000}">
      <tableStyleElement type="wholeTable" dxfId="36"/>
      <tableStyleElement type="headerRow" dxfId="35"/>
      <tableStyleElement type="totalRow" dxfId="34"/>
      <tableStyleElement type="firstColumn" dxfId="33"/>
      <tableStyleElement type="lastColumn" dxfId="32"/>
      <tableStyleElement type="firstRowStripe" dxfId="31"/>
      <tableStyleElement type="secondRowStripe" dxfId="30"/>
      <tableStyleElement type="firstColumnStripe" dxfId="29"/>
      <tableStyleElement type="secondColumnStripe" dxfId="2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FF8264"/>
      <color rgb="FFFF8265"/>
      <color rgb="FFFFEB75"/>
      <color rgb="FFF1BE00"/>
      <color rgb="FF215881"/>
      <color rgb="FF42648A"/>
      <color rgb="FF969696"/>
      <color rgb="FFC0C0C0"/>
      <color rgb="FF427FC2"/>
      <color rgb="FF4467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170.386982870368" createdVersion="8" refreshedVersion="8" minRefreshableVersion="3" recordCount="100" xr:uid="{41B9E3D1-8166-4FAE-983B-77E3F8CC1A54}">
  <cacheSource type="worksheet">
    <worksheetSource ref="A5:O105" sheet="Project schedule"/>
  </cacheSource>
  <cacheFields count="15">
    <cacheField name="Sr. No." numFmtId="0">
      <sharedItems containsString="0" containsBlank="1" containsNumber="1" containsInteger="1" minValue="1" maxValue="96" count="97">
        <m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</sharedItems>
    </cacheField>
    <cacheField name="Phase" numFmtId="0">
      <sharedItems containsBlank="1"/>
    </cacheField>
    <cacheField name="Milestone" numFmtId="0">
      <sharedItems containsBlank="1" count="14">
        <m/>
        <s v="Project Initiation &amp; Governance"/>
        <s v="Data Migration – Iteration 1"/>
        <s v="Requirement Validation &amp; Gap Analysis"/>
        <s v="Solution Design &amp; Configuration"/>
        <s v="Development &amp; Gap Closure"/>
        <s v="Testing (QA + SIT)"/>
        <s v="Training"/>
        <s v="UAT- 1 (Bank Level)"/>
        <s v="Data Migration – Iteration 2"/>
        <s v="UAT- 2 (High Level)"/>
        <s v="Go-Live Readiness &amp; Sign-Off"/>
        <s v="Go-Live "/>
        <s v="Post Go-Live Stabilization"/>
      </sharedItems>
    </cacheField>
    <cacheField name="Task" numFmtId="0">
      <sharedItems containsBlank="1" count="43">
        <m/>
        <s v="Project Kickoff"/>
        <s v="Governance Setup"/>
        <s v="Project Planning"/>
        <s v="Communication Setup"/>
        <s v="Data Understanding"/>
        <s v="Data Mapping"/>
        <s v="Data Cleansing"/>
        <s v="Migration Execution"/>
        <s v="Validation &amp; Reconciliation"/>
        <s v="Requirement Workshops"/>
        <s v="Integration Requirements"/>
        <s v="Gap Analysis"/>
        <s v="Sign-off"/>
        <s v="Solution Design"/>
        <s v="Product Configuration"/>
        <s v="Accounting Setup"/>
        <s v="Integration Design"/>
        <s v="Settlement Design"/>
        <s v="Mandate Design"/>
        <s v="Core Development"/>
        <s v="Integration Development"/>
        <s v="Mandate Engine"/>
        <s v="Test Planning"/>
        <s v="Functional Testing"/>
        <s v="Integration Testing"/>
        <s v="Settlement Testing"/>
        <s v="Failure Testing"/>
        <s v="Training Preparation"/>
        <s v="Training Execution"/>
        <s v="UAT Planning"/>
        <s v="UAT Execution"/>
        <s v="Issue Resolution"/>
        <s v="Migration"/>
        <s v="Validation"/>
        <s v="Execution"/>
        <s v="Reporting"/>
        <s v="Activation"/>
        <s v="Monitoring"/>
        <s v="Support"/>
        <s v="Hypercare"/>
        <s v="Resolution"/>
        <s v="Closure"/>
      </sharedItems>
    </cacheField>
    <cacheField name="Sub-Task" numFmtId="0">
      <sharedItems containsBlank="1" count="63">
        <m/>
        <s v="Kickoff Meeting"/>
        <s v="Governance Model"/>
        <s v="Implementation Planning"/>
        <s v="Reporting Framework"/>
        <s v="Source Analysis"/>
        <s v="Mapping Definition"/>
        <s v="Data Quality"/>
        <s v="Trial Migration"/>
        <s v="Data Validation"/>
        <s v="Financial Validation"/>
        <s v="Core Modules"/>
        <s v="Digital Channels"/>
        <s v="NPCI Rails"/>
        <s v="RBI Systems"/>
        <s v="Government Systems"/>
        <s v="Switch &amp; Channels"/>
        <s v="Mandate"/>
        <s v="Gap Identification"/>
        <s v="Gap Prioritization"/>
        <s v="Approval"/>
        <s v="Architecture Design"/>
        <s v="Setup"/>
        <s v="GL Product Setup"/>
        <s v="NPCI Design"/>
        <s v="RBI Design"/>
        <s v="Switch Design"/>
        <s v="Government Design"/>
        <s v="Reconciliation"/>
        <s v="Lifecycle"/>
        <s v="Gap Development"/>
        <s v="NPCI"/>
        <s v="RBI"/>
        <s v="Switch"/>
        <s v="Government"/>
        <s v="Development"/>
        <s v="Strategy"/>
        <s v="CBS"/>
        <s v="Third Party Vendor"/>
        <s v="Validation"/>
        <s v="Scenarios"/>
        <s v="Material"/>
        <s v="Users"/>
        <s v="Technical"/>
        <s v="Core Banking"/>
        <s v="Channels"/>
        <s v="Payments"/>
        <s v="Settlement"/>
        <s v="Reporting"/>
        <s v="Fixes"/>
        <s v="Execution"/>
        <s v="Final"/>
        <s v="End to End"/>
        <s v="Data"/>
        <s v="Application"/>
        <s v="Integration"/>
        <s v="Business"/>
        <s v="Compliance"/>
        <s v="Transactions"/>
        <s v="Issue Handling"/>
        <s v="Support"/>
        <s v="Performance"/>
        <s v="Documentation"/>
      </sharedItems>
    </cacheField>
    <cacheField name="Activity" numFmtId="0">
      <sharedItems containsBlank="1" count="89">
        <m/>
        <s v="Introduce stakeholders"/>
        <s v="Define scope objectives success criteria"/>
        <s v="Identify stakeholders Business IT Ops Finance"/>
        <s v="Steering committee formation"/>
        <s v="Define escalation matrix"/>
        <s v="Define approval hierarchy"/>
        <s v="Define timelines milestones"/>
        <s v="Resource allocation Bank Vendor"/>
        <s v="Risk identification"/>
        <s v="Define reporting cadence"/>
        <s v="Setup status templates"/>
        <s v="Define escalation reporting"/>
        <s v="Study legacy CBS"/>
        <s v="Identify data sources"/>
        <s v="History Data Migration"/>
        <s v="Map legacy to CBS fields"/>
        <s v="Define transformation logic"/>
        <s v="Remove duplicates"/>
        <s v="Correct inconsistencies"/>
        <s v="Load customer data"/>
        <s v="Load account data"/>
        <s v="Load Transaction data"/>
        <s v="Migrated Data Validation*"/>
        <s v="Financial Report Validation*"/>
        <s v="Exception identification"/>
        <s v="Core Module List*"/>
        <s v="Digital Channel Module List*"/>
        <s v="UPI IMPS NACH AEPS NFS BBPS FASTag"/>
        <s v="NEFT RTGS"/>
        <s v="PFMS DBT CBDT"/>
        <s v="ATM POS UPI IMPS routing"/>
        <s v="eNACH registration debit lifecycle"/>
        <s v="Identify gaps"/>
        <s v="Categorize gaps"/>
        <s v="Requirement gap sign-off"/>
        <s v="CBS architecture"/>
        <s v="Integration architecture (third party vendor)"/>
        <s v="Product Checklist*"/>
        <s v="GL mapping interest charges*"/>
        <s v="API file structure sponsor bank"/>
        <s v="NEFT RTGS design"/>
        <s v="PFMS DBT flows"/>
        <s v="Settlement flows reconciliation"/>
        <s v="Registration execution cancellation"/>
        <s v="Critical high gaps"/>
        <s v="UPI IMPS NACH AEPS"/>
        <s v="ATM POS UPI IMPS"/>
        <s v="Registration validation execution"/>
        <s v="Test strategy test cases"/>
        <s v="Core Module + Functionalities List*"/>
        <s v="UPI IMPS NACH"/>
        <s v="ATM POS"/>
        <s v="Third Party Vendor"/>
        <s v="Settlement GL Transactions"/>
        <s v="Timeout reversal duplicate"/>
        <s v="Training materials SOP"/>
        <s v="Branch operations"/>
        <s v="IT admin"/>
        <s v="Define scope users"/>
        <s v="UPI IMPS NACH NEFT RTGS AEPS CTS"/>
        <s v="PFMS DBT"/>
        <s v="Registration execution"/>
        <s v="GL reconciliation exception"/>
        <s v="Regulatory MIS*"/>
        <s v="Resolve defects revalidation"/>
        <s v="Branch Ops Finance IT final"/>
        <s v="Reload corrected data"/>
        <s v="Reconciliation"/>
        <s v="Full system validation"/>
        <s v="MIS regulatory"/>
        <s v="One Day Voucher Posting"/>
        <s v="Business approval"/>
        <s v="Infra readiness"/>
        <s v="Migration approval"/>
        <s v="System validation"/>
        <s v="NPCI RBI Switch validation"/>
        <s v="User readiness"/>
        <s v="Regulatory validation"/>
        <s v="Go-live approval"/>
        <s v="Production Data Restore"/>
        <s v="Enable accounts transactions"/>
        <s v="Mobile Internet APIs"/>
        <s v="Validate transactions"/>
        <s v="Resolve issues"/>
        <s v="Onsite support"/>
        <s v="System monitoring"/>
        <s v="Bug fixing"/>
        <s v="Closure lessons learned"/>
      </sharedItems>
    </cacheField>
    <cacheField name="Owner" numFmtId="0">
      <sharedItems containsNonDate="0" containsString="0" containsBlank="1"/>
    </cacheField>
    <cacheField name="Estimated Period _x000a_(in week)" numFmtId="0">
      <sharedItems containsString="0" containsBlank="1" containsNumber="1" minValue="0.2" maxValue="2.2000000000000002"/>
    </cacheField>
    <cacheField name="Planned Start Date" numFmtId="0">
      <sharedItems containsNonDate="0" containsDate="1" containsString="0" containsBlank="1" minDate="2026-04-15T00:00:00" maxDate="2026-11-26T00:00:00"/>
    </cacheField>
    <cacheField name="Planned _x000a_End Date" numFmtId="0">
      <sharedItems containsNonDate="0" containsDate="1" containsString="0" containsBlank="1" minDate="2026-04-16T00:00:00" maxDate="2026-12-01T00:00:00"/>
    </cacheField>
    <cacheField name="Actual _x000a_Start Date" numFmtId="0">
      <sharedItems containsNonDate="0" containsDate="1" containsString="0" containsBlank="1" minDate="2026-04-16T00:00:00" maxDate="2026-04-23T00:00:00"/>
    </cacheField>
    <cacheField name="Actual _x000a_End Date" numFmtId="0">
      <sharedItems containsNonDate="0" containsDate="1" containsString="0" containsBlank="1" minDate="2026-04-16T00:00:00" maxDate="2026-04-25T00:00:00"/>
    </cacheField>
    <cacheField name="Actual_x000a_Period_x000a_(in week)" numFmtId="0">
      <sharedItems containsBlank="1" containsMixedTypes="1" containsNumber="1" minValue="0.2" maxValue="0.6"/>
    </cacheField>
    <cacheField name="Progress" numFmtId="0">
      <sharedItems containsString="0" containsBlank="1" containsNumber="1" minValue="0.8" maxValue="1"/>
    </cacheField>
    <cacheField name="Execution Statu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m/>
    <x v="0"/>
    <x v="0"/>
    <x v="0"/>
    <x v="0"/>
    <m/>
    <m/>
    <m/>
    <m/>
    <m/>
    <m/>
    <m/>
    <m/>
    <m/>
  </r>
  <r>
    <x v="0"/>
    <m/>
    <x v="0"/>
    <x v="0"/>
    <x v="0"/>
    <x v="0"/>
    <m/>
    <m/>
    <m/>
    <m/>
    <m/>
    <m/>
    <m/>
    <m/>
    <m/>
  </r>
  <r>
    <x v="1"/>
    <s v="Phase-1"/>
    <x v="1"/>
    <x v="1"/>
    <x v="1"/>
    <x v="1"/>
    <m/>
    <n v="0.2"/>
    <d v="2026-04-15T00:00:00"/>
    <d v="2026-04-16T00:00:00"/>
    <d v="2026-04-16T00:00:00"/>
    <d v="2026-04-16T00:00:00"/>
    <n v="0.2"/>
    <n v="1"/>
    <s v="Completed"/>
  </r>
  <r>
    <x v="2"/>
    <s v="Phase-1"/>
    <x v="1"/>
    <x v="1"/>
    <x v="1"/>
    <x v="2"/>
    <m/>
    <n v="0.3"/>
    <d v="2026-04-15T00:00:00"/>
    <d v="2026-04-17T00:00:00"/>
    <d v="2026-04-16T00:00:00"/>
    <d v="2026-04-17T00:00:00"/>
    <n v="0.4"/>
    <n v="0.8"/>
    <s v="In Progress"/>
  </r>
  <r>
    <x v="3"/>
    <s v="Phase-1"/>
    <x v="1"/>
    <x v="1"/>
    <x v="1"/>
    <x v="3"/>
    <m/>
    <n v="0.2"/>
    <d v="2026-04-16T00:00:00"/>
    <d v="2026-04-17T00:00:00"/>
    <d v="2026-04-22T00:00:00"/>
    <d v="2026-04-24T00:00:00"/>
    <n v="0.6"/>
    <n v="1"/>
    <s v="Completed"/>
  </r>
  <r>
    <x v="4"/>
    <s v="Phase-1"/>
    <x v="1"/>
    <x v="2"/>
    <x v="2"/>
    <x v="4"/>
    <m/>
    <n v="0.3"/>
    <d v="2026-04-16T00:00:00"/>
    <d v="2026-04-18T00:00:00"/>
    <d v="2026-04-18T00:00:00"/>
    <m/>
    <s v=""/>
    <m/>
    <s v="Not Started"/>
  </r>
  <r>
    <x v="5"/>
    <s v="Phase-1"/>
    <x v="1"/>
    <x v="2"/>
    <x v="2"/>
    <x v="5"/>
    <m/>
    <n v="0.2"/>
    <d v="2026-04-17T00:00:00"/>
    <d v="2026-04-18T00:00:00"/>
    <m/>
    <m/>
    <s v=""/>
    <m/>
    <s v="Not Started"/>
  </r>
  <r>
    <x v="6"/>
    <s v="Phase-1"/>
    <x v="1"/>
    <x v="2"/>
    <x v="2"/>
    <x v="6"/>
    <m/>
    <n v="0.2"/>
    <d v="2026-04-17T00:00:00"/>
    <d v="2026-04-18T00:00:00"/>
    <m/>
    <m/>
    <s v=""/>
    <m/>
    <s v="Not Started"/>
  </r>
  <r>
    <x v="7"/>
    <s v="Phase-1"/>
    <x v="1"/>
    <x v="3"/>
    <x v="3"/>
    <x v="7"/>
    <m/>
    <n v="0.3"/>
    <d v="2026-04-18T00:00:00"/>
    <d v="2026-04-21T00:00:00"/>
    <m/>
    <m/>
    <s v=""/>
    <m/>
    <s v="Not Started"/>
  </r>
  <r>
    <x v="8"/>
    <s v="Phase-1"/>
    <x v="1"/>
    <x v="3"/>
    <x v="3"/>
    <x v="8"/>
    <m/>
    <n v="0.3"/>
    <d v="2026-04-18T00:00:00"/>
    <d v="2026-04-21T00:00:00"/>
    <m/>
    <m/>
    <s v=""/>
    <m/>
    <s v="Not Started"/>
  </r>
  <r>
    <x v="9"/>
    <s v="Phase-1"/>
    <x v="1"/>
    <x v="3"/>
    <x v="3"/>
    <x v="9"/>
    <m/>
    <n v="0.2"/>
    <d v="2026-04-19T00:00:00"/>
    <d v="2026-04-21T00:00:00"/>
    <m/>
    <m/>
    <s v=""/>
    <m/>
    <s v="Not Started"/>
  </r>
  <r>
    <x v="10"/>
    <s v="Phase-1"/>
    <x v="1"/>
    <x v="4"/>
    <x v="4"/>
    <x v="10"/>
    <m/>
    <n v="0.2"/>
    <d v="2026-04-20T00:00:00"/>
    <d v="2026-04-22T00:00:00"/>
    <m/>
    <m/>
    <s v=""/>
    <m/>
    <s v="Not Started"/>
  </r>
  <r>
    <x v="11"/>
    <s v="Phase-1"/>
    <x v="1"/>
    <x v="4"/>
    <x v="4"/>
    <x v="11"/>
    <m/>
    <n v="0.2"/>
    <d v="2026-04-20T00:00:00"/>
    <d v="2026-04-22T00:00:00"/>
    <m/>
    <m/>
    <s v=""/>
    <m/>
    <s v="Not Started"/>
  </r>
  <r>
    <x v="12"/>
    <s v="Phase-1"/>
    <x v="1"/>
    <x v="4"/>
    <x v="4"/>
    <x v="12"/>
    <m/>
    <n v="0.2"/>
    <d v="2026-04-21T00:00:00"/>
    <d v="2026-04-22T00:00:00"/>
    <m/>
    <m/>
    <s v=""/>
    <m/>
    <s v="Not Started"/>
  </r>
  <r>
    <x v="13"/>
    <s v="Phase-1"/>
    <x v="2"/>
    <x v="5"/>
    <x v="5"/>
    <x v="13"/>
    <m/>
    <n v="0.6"/>
    <d v="2026-04-20T00:00:00"/>
    <d v="2026-04-25T00:00:00"/>
    <m/>
    <m/>
    <s v=""/>
    <m/>
    <s v="Not Started"/>
  </r>
  <r>
    <x v="14"/>
    <s v="Phase-1"/>
    <x v="2"/>
    <x v="5"/>
    <x v="5"/>
    <x v="14"/>
    <m/>
    <n v="0.5"/>
    <d v="2026-04-21T00:00:00"/>
    <d v="2026-04-25T00:00:00"/>
    <m/>
    <m/>
    <s v=""/>
    <m/>
    <s v="Not Started"/>
  </r>
  <r>
    <x v="15"/>
    <s v="Phase-1"/>
    <x v="2"/>
    <x v="5"/>
    <x v="5"/>
    <x v="15"/>
    <m/>
    <n v="0.8"/>
    <d v="2026-04-26T00:00:00"/>
    <d v="2026-05-02T00:00:00"/>
    <m/>
    <m/>
    <s v=""/>
    <m/>
    <s v="Not Started"/>
  </r>
  <r>
    <x v="16"/>
    <s v="Phase-1"/>
    <x v="2"/>
    <x v="6"/>
    <x v="6"/>
    <x v="16"/>
    <m/>
    <n v="0.6"/>
    <d v="2026-04-26T00:00:00"/>
    <d v="2026-04-30T00:00:00"/>
    <m/>
    <m/>
    <s v=""/>
    <m/>
    <s v="Not Started"/>
  </r>
  <r>
    <x v="17"/>
    <s v="Phase-1"/>
    <x v="2"/>
    <x v="6"/>
    <x v="6"/>
    <x v="17"/>
    <m/>
    <n v="0.6"/>
    <d v="2026-04-27T00:00:00"/>
    <d v="2026-05-01T00:00:00"/>
    <m/>
    <m/>
    <s v=""/>
    <m/>
    <s v="Not Started"/>
  </r>
  <r>
    <x v="18"/>
    <s v="Phase-1"/>
    <x v="2"/>
    <x v="7"/>
    <x v="7"/>
    <x v="18"/>
    <m/>
    <n v="0.6"/>
    <d v="2026-04-27T00:00:00"/>
    <d v="2026-05-01T00:00:00"/>
    <m/>
    <m/>
    <s v=""/>
    <m/>
    <s v="Not Started"/>
  </r>
  <r>
    <x v="19"/>
    <s v="Phase-1"/>
    <x v="2"/>
    <x v="7"/>
    <x v="7"/>
    <x v="19"/>
    <m/>
    <n v="0.5"/>
    <d v="2026-04-28T00:00:00"/>
    <d v="2026-05-02T00:00:00"/>
    <m/>
    <m/>
    <s v=""/>
    <m/>
    <s v="Not Started"/>
  </r>
  <r>
    <x v="20"/>
    <s v="Phase-1"/>
    <x v="2"/>
    <x v="8"/>
    <x v="8"/>
    <x v="20"/>
    <m/>
    <n v="0.5"/>
    <d v="2026-05-03T00:00:00"/>
    <d v="2026-05-07T00:00:00"/>
    <m/>
    <m/>
    <s v=""/>
    <m/>
    <s v="Not Started"/>
  </r>
  <r>
    <x v="21"/>
    <s v="Phase-1"/>
    <x v="2"/>
    <x v="8"/>
    <x v="8"/>
    <x v="21"/>
    <m/>
    <n v="0.5"/>
    <d v="2026-05-03T00:00:00"/>
    <d v="2026-05-07T00:00:00"/>
    <m/>
    <m/>
    <s v=""/>
    <m/>
    <s v="Not Started"/>
  </r>
  <r>
    <x v="22"/>
    <s v="Phase-1"/>
    <x v="2"/>
    <x v="8"/>
    <x v="8"/>
    <x v="22"/>
    <m/>
    <n v="0.4"/>
    <d v="2026-05-08T00:00:00"/>
    <d v="2026-05-10T00:00:00"/>
    <m/>
    <m/>
    <s v=""/>
    <m/>
    <s v="Not Started"/>
  </r>
  <r>
    <x v="23"/>
    <s v="Phase-1"/>
    <x v="2"/>
    <x v="9"/>
    <x v="9"/>
    <x v="23"/>
    <m/>
    <n v="0.6"/>
    <d v="2026-05-03T00:00:00"/>
    <d v="2026-05-08T00:00:00"/>
    <m/>
    <m/>
    <s v=""/>
    <m/>
    <s v="Not Started"/>
  </r>
  <r>
    <x v="24"/>
    <s v="Phase-1"/>
    <x v="2"/>
    <x v="9"/>
    <x v="10"/>
    <x v="24"/>
    <m/>
    <n v="0.5"/>
    <d v="2026-05-04T00:00:00"/>
    <d v="2026-05-08T00:00:00"/>
    <m/>
    <m/>
    <s v=""/>
    <m/>
    <s v="Not Started"/>
  </r>
  <r>
    <x v="25"/>
    <s v="Phase-1"/>
    <x v="2"/>
    <x v="9"/>
    <x v="10"/>
    <x v="25"/>
    <m/>
    <n v="0.8"/>
    <d v="2026-05-09T00:00:00"/>
    <d v="2026-05-15T00:00:00"/>
    <m/>
    <m/>
    <s v=""/>
    <m/>
    <s v="Not Started"/>
  </r>
  <r>
    <x v="26"/>
    <s v="Phase-1"/>
    <x v="3"/>
    <x v="10"/>
    <x v="11"/>
    <x v="26"/>
    <m/>
    <n v="0.8"/>
    <d v="2026-05-09T00:00:00"/>
    <d v="2026-05-15T00:00:00"/>
    <m/>
    <m/>
    <s v=""/>
    <m/>
    <s v="Not Started"/>
  </r>
  <r>
    <x v="27"/>
    <s v="Phase-1"/>
    <x v="3"/>
    <x v="10"/>
    <x v="12"/>
    <x v="27"/>
    <m/>
    <n v="0.5"/>
    <d v="2026-05-16T00:00:00"/>
    <d v="2026-05-20T00:00:00"/>
    <m/>
    <m/>
    <s v=""/>
    <m/>
    <s v="Not Started"/>
  </r>
  <r>
    <x v="28"/>
    <s v="Phase-1"/>
    <x v="3"/>
    <x v="11"/>
    <x v="13"/>
    <x v="28"/>
    <m/>
    <n v="0.5"/>
    <d v="2026-05-16T00:00:00"/>
    <d v="2026-05-20T00:00:00"/>
    <m/>
    <m/>
    <s v=""/>
    <m/>
    <s v="Not Started"/>
  </r>
  <r>
    <x v="29"/>
    <s v="Phase-1"/>
    <x v="3"/>
    <x v="11"/>
    <x v="14"/>
    <x v="29"/>
    <m/>
    <n v="0.6"/>
    <d v="2026-05-21T00:00:00"/>
    <d v="2026-05-25T00:00:00"/>
    <m/>
    <m/>
    <s v=""/>
    <m/>
    <s v="Not Started"/>
  </r>
  <r>
    <x v="30"/>
    <s v="Phase-1"/>
    <x v="3"/>
    <x v="11"/>
    <x v="15"/>
    <x v="30"/>
    <m/>
    <n v="0.6"/>
    <d v="2026-05-21T00:00:00"/>
    <d v="2026-05-25T00:00:00"/>
    <m/>
    <m/>
    <s v=""/>
    <m/>
    <s v="Not Started"/>
  </r>
  <r>
    <x v="31"/>
    <s v="Phase-1"/>
    <x v="3"/>
    <x v="11"/>
    <x v="16"/>
    <x v="31"/>
    <m/>
    <n v="0.6"/>
    <d v="2026-05-22T00:00:00"/>
    <d v="2026-05-26T00:00:00"/>
    <m/>
    <m/>
    <s v=""/>
    <m/>
    <s v="Not Started"/>
  </r>
  <r>
    <x v="32"/>
    <s v="Phase-1"/>
    <x v="3"/>
    <x v="11"/>
    <x v="17"/>
    <x v="32"/>
    <m/>
    <n v="0.5"/>
    <d v="2026-05-26T00:00:00"/>
    <d v="2026-05-30T00:00:00"/>
    <m/>
    <m/>
    <s v=""/>
    <m/>
    <s v="Not Started"/>
  </r>
  <r>
    <x v="33"/>
    <s v="Phase-1"/>
    <x v="3"/>
    <x v="12"/>
    <x v="18"/>
    <x v="33"/>
    <m/>
    <n v="0.5"/>
    <d v="2026-05-26T00:00:00"/>
    <d v="2026-05-30T00:00:00"/>
    <m/>
    <m/>
    <s v=""/>
    <m/>
    <s v="Not Started"/>
  </r>
  <r>
    <x v="34"/>
    <s v="Phase-1"/>
    <x v="3"/>
    <x v="12"/>
    <x v="19"/>
    <x v="34"/>
    <m/>
    <n v="0.6"/>
    <d v="2026-05-27T00:00:00"/>
    <d v="2026-06-01T00:00:00"/>
    <m/>
    <m/>
    <s v=""/>
    <m/>
    <s v="Not Started"/>
  </r>
  <r>
    <x v="35"/>
    <s v="Phase-1"/>
    <x v="3"/>
    <x v="13"/>
    <x v="20"/>
    <x v="35"/>
    <m/>
    <n v="0.6"/>
    <d v="2026-05-27T00:00:00"/>
    <d v="2026-06-01T00:00:00"/>
    <m/>
    <m/>
    <s v=""/>
    <m/>
    <s v="Not Started"/>
  </r>
  <r>
    <x v="36"/>
    <s v="Phase-1"/>
    <x v="4"/>
    <x v="14"/>
    <x v="21"/>
    <x v="36"/>
    <m/>
    <n v="1"/>
    <d v="2026-05-11T00:00:00"/>
    <d v="2026-05-20T00:00:00"/>
    <m/>
    <m/>
    <s v=""/>
    <m/>
    <s v="Not Started"/>
  </r>
  <r>
    <x v="37"/>
    <s v="Phase-1"/>
    <x v="4"/>
    <x v="14"/>
    <x v="21"/>
    <x v="37"/>
    <m/>
    <n v="1"/>
    <d v="2026-05-11T00:00:00"/>
    <d v="2026-05-20T00:00:00"/>
    <m/>
    <m/>
    <s v=""/>
    <m/>
    <s v="Not Started"/>
  </r>
  <r>
    <x v="38"/>
    <s v="Phase-1"/>
    <x v="4"/>
    <x v="15"/>
    <x v="22"/>
    <x v="38"/>
    <m/>
    <n v="0.8"/>
    <d v="2026-05-21T00:00:00"/>
    <d v="2026-05-27T00:00:00"/>
    <m/>
    <m/>
    <s v=""/>
    <m/>
    <s v="Not Started"/>
  </r>
  <r>
    <x v="39"/>
    <s v="Phase-1"/>
    <x v="4"/>
    <x v="16"/>
    <x v="23"/>
    <x v="39"/>
    <m/>
    <n v="0.7"/>
    <d v="2026-05-21T00:00:00"/>
    <d v="2026-05-26T00:00:00"/>
    <m/>
    <m/>
    <s v=""/>
    <m/>
    <s v="Not Started"/>
  </r>
  <r>
    <x v="40"/>
    <s v="Phase-1"/>
    <x v="4"/>
    <x v="17"/>
    <x v="24"/>
    <x v="40"/>
    <m/>
    <n v="0.8"/>
    <d v="2026-05-21T00:00:00"/>
    <d v="2026-05-28T00:00:00"/>
    <m/>
    <m/>
    <s v=""/>
    <m/>
    <s v="Not Started"/>
  </r>
  <r>
    <x v="41"/>
    <s v="Phase-1"/>
    <x v="4"/>
    <x v="17"/>
    <x v="25"/>
    <x v="41"/>
    <m/>
    <n v="0.7"/>
    <d v="2026-05-22T00:00:00"/>
    <d v="2026-05-27T00:00:00"/>
    <m/>
    <m/>
    <s v=""/>
    <m/>
    <s v="Not Started"/>
  </r>
  <r>
    <x v="42"/>
    <s v="Phase-1"/>
    <x v="4"/>
    <x v="17"/>
    <x v="26"/>
    <x v="31"/>
    <m/>
    <n v="0.7"/>
    <d v="2026-05-22T00:00:00"/>
    <d v="2026-05-27T00:00:00"/>
    <m/>
    <m/>
    <s v=""/>
    <m/>
    <s v="Not Started"/>
  </r>
  <r>
    <x v="43"/>
    <s v="Phase-1"/>
    <x v="4"/>
    <x v="17"/>
    <x v="27"/>
    <x v="42"/>
    <m/>
    <n v="0.7"/>
    <d v="2026-05-23T00:00:00"/>
    <d v="2026-05-28T00:00:00"/>
    <m/>
    <m/>
    <s v=""/>
    <m/>
    <s v="Not Started"/>
  </r>
  <r>
    <x v="44"/>
    <s v="Phase-1"/>
    <x v="4"/>
    <x v="18"/>
    <x v="28"/>
    <x v="43"/>
    <m/>
    <n v="0.7"/>
    <d v="2026-05-24T00:00:00"/>
    <d v="2026-05-29T00:00:00"/>
    <m/>
    <m/>
    <s v=""/>
    <m/>
    <s v="Not Started"/>
  </r>
  <r>
    <x v="45"/>
    <s v="Phase-1"/>
    <x v="4"/>
    <x v="19"/>
    <x v="29"/>
    <x v="44"/>
    <m/>
    <n v="0.6"/>
    <d v="2026-05-24T00:00:00"/>
    <d v="2026-05-28T00:00:00"/>
    <m/>
    <m/>
    <s v=""/>
    <m/>
    <s v="Not Started"/>
  </r>
  <r>
    <x v="46"/>
    <s v="Phase-1"/>
    <x v="5"/>
    <x v="20"/>
    <x v="30"/>
    <x v="45"/>
    <m/>
    <n v="2"/>
    <d v="2026-05-29T00:00:00"/>
    <d v="2026-06-12T00:00:00"/>
    <m/>
    <m/>
    <s v=""/>
    <m/>
    <s v="Not Started"/>
  </r>
  <r>
    <x v="47"/>
    <s v="Phase-1"/>
    <x v="5"/>
    <x v="21"/>
    <x v="31"/>
    <x v="46"/>
    <m/>
    <n v="1.5"/>
    <d v="2026-05-29T00:00:00"/>
    <d v="2026-06-10T00:00:00"/>
    <m/>
    <m/>
    <s v=""/>
    <m/>
    <s v="Not Started"/>
  </r>
  <r>
    <x v="48"/>
    <s v="Phase-1"/>
    <x v="5"/>
    <x v="21"/>
    <x v="32"/>
    <x v="29"/>
    <m/>
    <n v="1.2"/>
    <d v="2026-05-30T00:00:00"/>
    <d v="2026-06-08T00:00:00"/>
    <m/>
    <m/>
    <s v=""/>
    <m/>
    <s v="Not Started"/>
  </r>
  <r>
    <x v="49"/>
    <s v="Phase-1"/>
    <x v="5"/>
    <x v="21"/>
    <x v="33"/>
    <x v="47"/>
    <m/>
    <n v="1.2"/>
    <d v="2026-05-30T00:00:00"/>
    <d v="2026-06-08T00:00:00"/>
    <m/>
    <m/>
    <s v=""/>
    <m/>
    <s v="Not Started"/>
  </r>
  <r>
    <x v="50"/>
    <s v="Phase-1"/>
    <x v="5"/>
    <x v="21"/>
    <x v="34"/>
    <x v="30"/>
    <m/>
    <n v="1.2"/>
    <d v="2026-05-31T00:00:00"/>
    <d v="2026-06-10T00:00:00"/>
    <m/>
    <m/>
    <s v=""/>
    <m/>
    <s v="Not Started"/>
  </r>
  <r>
    <x v="51"/>
    <s v="Phase-1"/>
    <x v="5"/>
    <x v="22"/>
    <x v="35"/>
    <x v="48"/>
    <m/>
    <n v="1"/>
    <d v="2026-06-05T00:00:00"/>
    <d v="2026-06-12T00:00:00"/>
    <m/>
    <m/>
    <s v=""/>
    <m/>
    <s v="Not Started"/>
  </r>
  <r>
    <x v="52"/>
    <s v="Phase-1"/>
    <x v="6"/>
    <x v="23"/>
    <x v="36"/>
    <x v="49"/>
    <m/>
    <n v="0.6"/>
    <d v="2026-06-10T00:00:00"/>
    <d v="2026-06-15T00:00:00"/>
    <m/>
    <m/>
    <s v=""/>
    <m/>
    <s v="Not Started"/>
  </r>
  <r>
    <x v="53"/>
    <s v="Phase-1"/>
    <x v="6"/>
    <x v="24"/>
    <x v="37"/>
    <x v="50"/>
    <m/>
    <n v="1.5"/>
    <d v="2026-06-16T00:00:00"/>
    <d v="2026-06-28T00:00:00"/>
    <m/>
    <m/>
    <s v=""/>
    <m/>
    <s v="Not Started"/>
  </r>
  <r>
    <x v="54"/>
    <s v="Phase-1"/>
    <x v="6"/>
    <x v="25"/>
    <x v="31"/>
    <x v="51"/>
    <m/>
    <n v="1.2"/>
    <d v="2026-06-16T00:00:00"/>
    <d v="2026-06-26T00:00:00"/>
    <m/>
    <m/>
    <s v=""/>
    <m/>
    <s v="Not Started"/>
  </r>
  <r>
    <x v="55"/>
    <s v="Phase-1"/>
    <x v="6"/>
    <x v="25"/>
    <x v="32"/>
    <x v="29"/>
    <m/>
    <n v="1"/>
    <d v="2026-06-17T00:00:00"/>
    <d v="2026-06-25T00:00:00"/>
    <m/>
    <m/>
    <s v=""/>
    <m/>
    <s v="Not Started"/>
  </r>
  <r>
    <x v="56"/>
    <s v="Phase-1"/>
    <x v="6"/>
    <x v="25"/>
    <x v="33"/>
    <x v="52"/>
    <m/>
    <n v="1"/>
    <d v="2026-06-17T00:00:00"/>
    <d v="2026-06-25T00:00:00"/>
    <m/>
    <m/>
    <s v=""/>
    <m/>
    <s v="Not Started"/>
  </r>
  <r>
    <x v="57"/>
    <s v="Phase-1"/>
    <x v="6"/>
    <x v="25"/>
    <x v="38"/>
    <x v="53"/>
    <m/>
    <n v="1"/>
    <d v="2026-06-17T00:00:00"/>
    <d v="2026-06-25T00:00:00"/>
    <m/>
    <m/>
    <s v=""/>
    <m/>
    <s v="Not Started"/>
  </r>
  <r>
    <x v="57"/>
    <s v="Phase-1"/>
    <x v="6"/>
    <x v="26"/>
    <x v="39"/>
    <x v="54"/>
    <m/>
    <n v="1"/>
    <d v="2026-06-18T00:00:00"/>
    <d v="2026-06-28T00:00:00"/>
    <m/>
    <m/>
    <s v=""/>
    <m/>
    <s v="Not Started"/>
  </r>
  <r>
    <x v="58"/>
    <s v="Phase-1"/>
    <x v="6"/>
    <x v="27"/>
    <x v="40"/>
    <x v="55"/>
    <m/>
    <n v="0.8"/>
    <d v="2026-06-19T00:00:00"/>
    <d v="2026-06-27T00:00:00"/>
    <m/>
    <m/>
    <s v=""/>
    <m/>
    <s v="Not Started"/>
  </r>
  <r>
    <x v="59"/>
    <s v="Phase-1"/>
    <x v="7"/>
    <x v="28"/>
    <x v="41"/>
    <x v="56"/>
    <m/>
    <n v="0.6"/>
    <d v="2026-06-20T00:00:00"/>
    <d v="2026-06-25T00:00:00"/>
    <m/>
    <m/>
    <s v=""/>
    <m/>
    <s v="Not Started"/>
  </r>
  <r>
    <x v="60"/>
    <s v="Phase-1"/>
    <x v="7"/>
    <x v="29"/>
    <x v="42"/>
    <x v="57"/>
    <m/>
    <n v="0.6"/>
    <d v="2026-06-26T00:00:00"/>
    <d v="2026-07-01T00:00:00"/>
    <m/>
    <m/>
    <s v=""/>
    <m/>
    <s v="Not Started"/>
  </r>
  <r>
    <x v="61"/>
    <s v="Phase-1"/>
    <x v="7"/>
    <x v="29"/>
    <x v="43"/>
    <x v="58"/>
    <m/>
    <n v="0.5"/>
    <d v="2026-06-26T00:00:00"/>
    <d v="2026-06-30T00:00:00"/>
    <m/>
    <m/>
    <s v=""/>
    <m/>
    <s v="Not Started"/>
  </r>
  <r>
    <x v="62"/>
    <s v="Phase-1"/>
    <x v="8"/>
    <x v="30"/>
    <x v="40"/>
    <x v="59"/>
    <m/>
    <n v="0.6"/>
    <d v="2026-06-25T00:00:00"/>
    <d v="2026-06-30T00:00:00"/>
    <m/>
    <m/>
    <s v=""/>
    <m/>
    <s v="Not Started"/>
  </r>
  <r>
    <x v="63"/>
    <s v="Phase-1"/>
    <x v="8"/>
    <x v="31"/>
    <x v="44"/>
    <x v="50"/>
    <m/>
    <n v="2.2000000000000002"/>
    <d v="2026-07-01T00:00:00"/>
    <d v="2026-07-20T00:00:00"/>
    <m/>
    <m/>
    <s v=""/>
    <m/>
    <s v="Not Started"/>
  </r>
  <r>
    <x v="64"/>
    <s v="Phase-1"/>
    <x v="8"/>
    <x v="31"/>
    <x v="45"/>
    <x v="27"/>
    <m/>
    <n v="2"/>
    <d v="2026-07-01T00:00:00"/>
    <d v="2026-07-18T00:00:00"/>
    <m/>
    <m/>
    <s v=""/>
    <m/>
    <s v="Not Started"/>
  </r>
  <r>
    <x v="65"/>
    <s v="Phase-1"/>
    <x v="8"/>
    <x v="31"/>
    <x v="46"/>
    <x v="60"/>
    <m/>
    <n v="2.2000000000000002"/>
    <d v="2026-07-02T00:00:00"/>
    <d v="2026-07-22T00:00:00"/>
    <m/>
    <m/>
    <s v=""/>
    <m/>
    <s v="Not Started"/>
  </r>
  <r>
    <x v="66"/>
    <s v="Phase-1"/>
    <x v="8"/>
    <x v="31"/>
    <x v="34"/>
    <x v="61"/>
    <m/>
    <n v="1.2"/>
    <d v="2026-07-03T00:00:00"/>
    <d v="2026-07-14T00:00:00"/>
    <m/>
    <m/>
    <s v=""/>
    <m/>
    <s v="Not Started"/>
  </r>
  <r>
    <x v="67"/>
    <s v="Phase-1"/>
    <x v="8"/>
    <x v="31"/>
    <x v="17"/>
    <x v="62"/>
    <m/>
    <n v="1"/>
    <d v="2026-07-04T00:00:00"/>
    <d v="2026-07-13T00:00:00"/>
    <m/>
    <m/>
    <s v=""/>
    <m/>
    <s v="Not Started"/>
  </r>
  <r>
    <x v="68"/>
    <s v="Phase-1"/>
    <x v="8"/>
    <x v="31"/>
    <x v="47"/>
    <x v="63"/>
    <m/>
    <n v="1"/>
    <d v="2026-07-05T00:00:00"/>
    <d v="2026-07-14T00:00:00"/>
    <m/>
    <m/>
    <s v=""/>
    <m/>
    <s v="Not Started"/>
  </r>
  <r>
    <x v="69"/>
    <s v="Phase-1"/>
    <x v="8"/>
    <x v="31"/>
    <x v="48"/>
    <x v="64"/>
    <m/>
    <n v="1"/>
    <d v="2026-07-06T00:00:00"/>
    <d v="2026-07-15T00:00:00"/>
    <m/>
    <m/>
    <s v=""/>
    <m/>
    <s v="Not Started"/>
  </r>
  <r>
    <x v="70"/>
    <s v="Phase-1"/>
    <x v="8"/>
    <x v="32"/>
    <x v="49"/>
    <x v="65"/>
    <m/>
    <n v="1.5"/>
    <d v="2026-07-21T00:00:00"/>
    <d v="2026-08-02T00:00:00"/>
    <m/>
    <m/>
    <s v=""/>
    <m/>
    <s v="Not Started"/>
  </r>
  <r>
    <x v="71"/>
    <s v="Phase-1"/>
    <x v="8"/>
    <x v="13"/>
    <x v="20"/>
    <x v="66"/>
    <m/>
    <n v="0.6"/>
    <d v="2026-08-03T00:00:00"/>
    <d v="2026-08-07T00:00:00"/>
    <m/>
    <m/>
    <s v=""/>
    <m/>
    <s v="Not Started"/>
  </r>
  <r>
    <x v="72"/>
    <s v="Phase-1"/>
    <x v="9"/>
    <x v="33"/>
    <x v="50"/>
    <x v="67"/>
    <m/>
    <n v="0.6"/>
    <d v="2026-08-08T00:00:00"/>
    <d v="2026-08-12T00:00:00"/>
    <m/>
    <m/>
    <s v=""/>
    <m/>
    <s v="Not Started"/>
  </r>
  <r>
    <x v="73"/>
    <s v="Phase-1"/>
    <x v="9"/>
    <x v="34"/>
    <x v="51"/>
    <x v="68"/>
    <m/>
    <n v="0.6"/>
    <d v="2026-08-13T00:00:00"/>
    <d v="2026-08-17T00:00:00"/>
    <m/>
    <m/>
    <s v=""/>
    <m/>
    <s v="Not Started"/>
  </r>
  <r>
    <x v="74"/>
    <s v="Phase-1"/>
    <x v="10"/>
    <x v="35"/>
    <x v="52"/>
    <x v="69"/>
    <m/>
    <n v="1.5"/>
    <d v="2026-08-18T00:00:00"/>
    <d v="2026-08-30T00:00:00"/>
    <m/>
    <m/>
    <s v=""/>
    <m/>
    <s v="Not Started"/>
  </r>
  <r>
    <x v="75"/>
    <s v="Phase-1"/>
    <x v="10"/>
    <x v="36"/>
    <x v="39"/>
    <x v="70"/>
    <m/>
    <n v="0.8"/>
    <d v="2026-08-22T00:00:00"/>
    <d v="2026-08-28T00:00:00"/>
    <m/>
    <m/>
    <s v=""/>
    <m/>
    <s v="Not Started"/>
  </r>
  <r>
    <x v="76"/>
    <s v="Phase-1"/>
    <x v="10"/>
    <x v="36"/>
    <x v="39"/>
    <x v="71"/>
    <m/>
    <n v="0.8"/>
    <d v="2026-08-22T00:00:00"/>
    <d v="2026-08-28T00:00:00"/>
    <m/>
    <m/>
    <s v=""/>
    <m/>
    <s v="Not Started"/>
  </r>
  <r>
    <x v="76"/>
    <s v="Phase-1"/>
    <x v="10"/>
    <x v="13"/>
    <x v="51"/>
    <x v="72"/>
    <m/>
    <n v="0.6"/>
    <d v="2026-08-31T00:00:00"/>
    <d v="2026-09-04T00:00:00"/>
    <m/>
    <m/>
    <s v=""/>
    <m/>
    <s v="Not Started"/>
  </r>
  <r>
    <x v="77"/>
    <s v="Phase-1"/>
    <x v="11"/>
    <x v="13"/>
    <x v="43"/>
    <x v="73"/>
    <m/>
    <n v="0.6"/>
    <d v="2026-11-01T00:00:00"/>
    <d v="2026-11-03T00:00:00"/>
    <m/>
    <m/>
    <s v=""/>
    <m/>
    <s v="Not Started"/>
  </r>
  <r>
    <x v="78"/>
    <s v="Phase-1"/>
    <x v="11"/>
    <x v="13"/>
    <x v="53"/>
    <x v="74"/>
    <m/>
    <n v="0.5"/>
    <d v="2026-11-01T00:00:00"/>
    <d v="2026-11-03T00:00:00"/>
    <m/>
    <m/>
    <s v=""/>
    <m/>
    <s v="Not Started"/>
  </r>
  <r>
    <x v="79"/>
    <s v="Phase-1"/>
    <x v="11"/>
    <x v="13"/>
    <x v="54"/>
    <x v="75"/>
    <m/>
    <n v="0.6"/>
    <d v="2026-11-02T00:00:00"/>
    <d v="2026-11-04T00:00:00"/>
    <m/>
    <m/>
    <s v=""/>
    <m/>
    <s v="Not Started"/>
  </r>
  <r>
    <x v="80"/>
    <s v="Phase-1"/>
    <x v="11"/>
    <x v="13"/>
    <x v="55"/>
    <x v="76"/>
    <m/>
    <n v="0.6"/>
    <d v="2026-11-02T00:00:00"/>
    <d v="2026-11-05T00:00:00"/>
    <m/>
    <m/>
    <s v=""/>
    <m/>
    <s v="Not Started"/>
  </r>
  <r>
    <x v="81"/>
    <s v="Phase-1"/>
    <x v="11"/>
    <x v="13"/>
    <x v="56"/>
    <x v="77"/>
    <m/>
    <n v="0.5"/>
    <d v="2026-11-03T00:00:00"/>
    <d v="2026-11-05T00:00:00"/>
    <m/>
    <m/>
    <s v=""/>
    <m/>
    <s v="Not Started"/>
  </r>
  <r>
    <x v="82"/>
    <s v="Phase-1"/>
    <x v="11"/>
    <x v="13"/>
    <x v="57"/>
    <x v="78"/>
    <m/>
    <n v="0.5"/>
    <d v="2026-11-03T00:00:00"/>
    <d v="2026-11-06T00:00:00"/>
    <m/>
    <m/>
    <s v=""/>
    <m/>
    <s v="Not Started"/>
  </r>
  <r>
    <x v="83"/>
    <s v="Phase-1"/>
    <x v="11"/>
    <x v="13"/>
    <x v="51"/>
    <x v="79"/>
    <m/>
    <n v="0.6"/>
    <d v="2026-11-07T00:00:00"/>
    <d v="2026-11-10T00:00:00"/>
    <m/>
    <m/>
    <s v=""/>
    <m/>
    <s v="Not Started"/>
  </r>
  <r>
    <x v="84"/>
    <s v="Phase-1"/>
    <x v="12"/>
    <x v="33"/>
    <x v="51"/>
    <x v="80"/>
    <m/>
    <n v="0.2"/>
    <d v="2026-11-15T00:00:00"/>
    <d v="2026-11-15T00:00:00"/>
    <m/>
    <m/>
    <s v=""/>
    <m/>
    <s v="Not Started"/>
  </r>
  <r>
    <x v="85"/>
    <s v="Phase-1"/>
    <x v="12"/>
    <x v="37"/>
    <x v="37"/>
    <x v="81"/>
    <m/>
    <n v="0.2"/>
    <d v="2026-11-16T00:00:00"/>
    <d v="2026-11-16T00:00:00"/>
    <m/>
    <m/>
    <s v=""/>
    <m/>
    <s v="Not Started"/>
  </r>
  <r>
    <x v="86"/>
    <s v="Phase-1"/>
    <x v="12"/>
    <x v="37"/>
    <x v="31"/>
    <x v="46"/>
    <m/>
    <n v="0.2"/>
    <d v="2026-11-16T00:00:00"/>
    <d v="2026-11-16T00:00:00"/>
    <m/>
    <m/>
    <s v=""/>
    <m/>
    <s v="Not Started"/>
  </r>
  <r>
    <x v="87"/>
    <s v="Phase-1"/>
    <x v="12"/>
    <x v="37"/>
    <x v="32"/>
    <x v="29"/>
    <m/>
    <n v="0.2"/>
    <d v="2026-11-16T00:00:00"/>
    <d v="2026-11-16T00:00:00"/>
    <m/>
    <m/>
    <s v=""/>
    <m/>
    <s v="Not Started"/>
  </r>
  <r>
    <x v="88"/>
    <s v="Phase-1"/>
    <x v="12"/>
    <x v="37"/>
    <x v="33"/>
    <x v="47"/>
    <m/>
    <n v="0.2"/>
    <d v="2026-11-16T00:00:00"/>
    <d v="2026-11-16T00:00:00"/>
    <m/>
    <m/>
    <s v=""/>
    <m/>
    <s v="Not Started"/>
  </r>
  <r>
    <x v="89"/>
    <s v="Phase-1"/>
    <x v="12"/>
    <x v="37"/>
    <x v="34"/>
    <x v="61"/>
    <m/>
    <n v="0.2"/>
    <d v="2026-11-16T00:00:00"/>
    <d v="2026-11-16T00:00:00"/>
    <m/>
    <m/>
    <s v=""/>
    <m/>
    <s v="Not Started"/>
  </r>
  <r>
    <x v="90"/>
    <s v="Phase-1"/>
    <x v="12"/>
    <x v="37"/>
    <x v="45"/>
    <x v="82"/>
    <m/>
    <n v="0.2"/>
    <d v="2026-11-16T00:00:00"/>
    <d v="2026-11-16T00:00:00"/>
    <m/>
    <m/>
    <s v=""/>
    <m/>
    <s v="Not Started"/>
  </r>
  <r>
    <x v="91"/>
    <s v="Phase-1"/>
    <x v="12"/>
    <x v="38"/>
    <x v="58"/>
    <x v="83"/>
    <m/>
    <n v="0.6"/>
    <d v="2026-11-16T00:00:00"/>
    <d v="2026-11-18T00:00:00"/>
    <m/>
    <m/>
    <s v=""/>
    <m/>
    <s v="Not Started"/>
  </r>
  <r>
    <x v="92"/>
    <s v="Phase-1"/>
    <x v="12"/>
    <x v="39"/>
    <x v="59"/>
    <x v="84"/>
    <m/>
    <n v="0.8"/>
    <d v="2026-11-16T00:00:00"/>
    <d v="2026-11-20T00:00:00"/>
    <m/>
    <m/>
    <s v=""/>
    <m/>
    <s v="Not Started"/>
  </r>
  <r>
    <x v="93"/>
    <s v="Phase-1"/>
    <x v="13"/>
    <x v="40"/>
    <x v="60"/>
    <x v="85"/>
    <m/>
    <n v="1.5"/>
    <d v="2026-11-17T00:00:00"/>
    <d v="2026-11-28T00:00:00"/>
    <m/>
    <m/>
    <s v=""/>
    <m/>
    <s v="Not Started"/>
  </r>
  <r>
    <x v="94"/>
    <s v="Phase-1"/>
    <x v="13"/>
    <x v="38"/>
    <x v="61"/>
    <x v="86"/>
    <m/>
    <n v="1.2"/>
    <d v="2026-11-17T00:00:00"/>
    <d v="2026-11-26T00:00:00"/>
    <m/>
    <m/>
    <s v=""/>
    <m/>
    <s v="Not Started"/>
  </r>
  <r>
    <x v="95"/>
    <s v="Phase-1"/>
    <x v="13"/>
    <x v="41"/>
    <x v="49"/>
    <x v="87"/>
    <m/>
    <n v="1.2"/>
    <d v="2026-11-18T00:00:00"/>
    <d v="2026-11-28T00:00:00"/>
    <m/>
    <m/>
    <s v=""/>
    <m/>
    <s v="Not Started"/>
  </r>
  <r>
    <x v="96"/>
    <s v="Phase-1"/>
    <x v="13"/>
    <x v="42"/>
    <x v="62"/>
    <x v="88"/>
    <m/>
    <n v="0.6"/>
    <d v="2026-11-25T00:00:00"/>
    <d v="2026-11-30T00:00:00"/>
    <m/>
    <m/>
    <s v=""/>
    <m/>
    <s v="Not Star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C00629-7A9E-46F8-8E05-8AC12FA7206D}" name="PivotTable2" cacheId="571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compact="0" compactData="0" gridDropZones="1">
  <location ref="A3:K103" firstHeaderRow="2" firstDataRow="2" firstDataCol="5"/>
  <pivotFields count="15">
    <pivotField axis="axisRow" compact="0" outline="0" showAll="0" defaultSubtotal="0">
      <items count="97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0"/>
      </items>
    </pivotField>
    <pivotField compact="0" outline="0" showAll="0"/>
    <pivotField axis="axisRow" compact="0" outline="0" showAll="0" defaultSubtotal="0">
      <items count="14">
        <item x="2"/>
        <item x="9"/>
        <item x="5"/>
        <item x="12"/>
        <item x="11"/>
        <item x="13"/>
        <item x="1"/>
        <item x="3"/>
        <item x="4"/>
        <item x="6"/>
        <item x="7"/>
        <item x="8"/>
        <item x="10"/>
        <item x="0"/>
      </items>
    </pivotField>
    <pivotField axis="axisRow" compact="0" outline="0" showAll="0" defaultSubtotal="0">
      <items count="43">
        <item x="16"/>
        <item x="37"/>
        <item x="42"/>
        <item x="4"/>
        <item x="20"/>
        <item x="7"/>
        <item x="6"/>
        <item x="5"/>
        <item x="35"/>
        <item x="27"/>
        <item x="24"/>
        <item x="12"/>
        <item x="2"/>
        <item x="40"/>
        <item x="17"/>
        <item x="21"/>
        <item x="11"/>
        <item x="25"/>
        <item x="32"/>
        <item x="19"/>
        <item x="22"/>
        <item x="33"/>
        <item x="8"/>
        <item x="38"/>
        <item x="15"/>
        <item x="1"/>
        <item x="3"/>
        <item x="36"/>
        <item x="10"/>
        <item x="41"/>
        <item x="18"/>
        <item x="26"/>
        <item x="13"/>
        <item x="14"/>
        <item x="39"/>
        <item x="23"/>
        <item x="29"/>
        <item x="28"/>
        <item x="31"/>
        <item x="30"/>
        <item x="34"/>
        <item x="9"/>
        <item x="0"/>
      </items>
    </pivotField>
    <pivotField axis="axisRow" compact="0" outline="0" showAll="0" defaultSubtotal="0">
      <items count="63">
        <item x="54"/>
        <item x="20"/>
        <item x="21"/>
        <item x="56"/>
        <item x="37"/>
        <item x="45"/>
        <item x="57"/>
        <item x="44"/>
        <item x="11"/>
        <item x="53"/>
        <item x="7"/>
        <item x="9"/>
        <item x="35"/>
        <item x="12"/>
        <item x="62"/>
        <item x="52"/>
        <item x="50"/>
        <item x="51"/>
        <item x="10"/>
        <item x="49"/>
        <item x="30"/>
        <item x="18"/>
        <item x="19"/>
        <item x="2"/>
        <item x="34"/>
        <item x="27"/>
        <item x="15"/>
        <item x="3"/>
        <item x="55"/>
        <item x="59"/>
        <item x="1"/>
        <item x="29"/>
        <item x="17"/>
        <item x="6"/>
        <item x="41"/>
        <item x="31"/>
        <item x="24"/>
        <item x="13"/>
        <item x="46"/>
        <item x="61"/>
        <item x="32"/>
        <item x="25"/>
        <item x="14"/>
        <item x="28"/>
        <item x="48"/>
        <item x="4"/>
        <item x="40"/>
        <item x="47"/>
        <item x="22"/>
        <item x="5"/>
        <item x="36"/>
        <item x="60"/>
        <item x="33"/>
        <item x="16"/>
        <item x="26"/>
        <item x="43"/>
        <item x="58"/>
        <item x="8"/>
        <item x="42"/>
        <item x="39"/>
        <item x="0"/>
        <item x="23"/>
        <item x="38"/>
      </items>
    </pivotField>
    <pivotField axis="axisRow" compact="0" outline="0" showAll="0" defaultSubtotal="0">
      <items count="89">
        <item x="40"/>
        <item x="52"/>
        <item x="47"/>
        <item x="31"/>
        <item x="57"/>
        <item x="66"/>
        <item x="87"/>
        <item x="72"/>
        <item x="34"/>
        <item x="36"/>
        <item x="88"/>
        <item x="19"/>
        <item x="45"/>
        <item x="6"/>
        <item x="5"/>
        <item x="12"/>
        <item x="10"/>
        <item x="2"/>
        <item x="59"/>
        <item x="7"/>
        <item x="17"/>
        <item x="81"/>
        <item x="32"/>
        <item x="25"/>
        <item x="69"/>
        <item x="63"/>
        <item x="79"/>
        <item x="15"/>
        <item x="14"/>
        <item x="33"/>
        <item x="3"/>
        <item x="73"/>
        <item x="1"/>
        <item x="58"/>
        <item x="21"/>
        <item x="20"/>
        <item x="16"/>
        <item x="74"/>
        <item x="70"/>
        <item x="82"/>
        <item x="29"/>
        <item x="41"/>
        <item x="76"/>
        <item x="85"/>
        <item x="61"/>
        <item x="30"/>
        <item x="42"/>
        <item x="68"/>
        <item x="62"/>
        <item x="44"/>
        <item x="48"/>
        <item x="78"/>
        <item x="67"/>
        <item x="18"/>
        <item x="35"/>
        <item x="65"/>
        <item x="84"/>
        <item x="8"/>
        <item x="9"/>
        <item x="43"/>
        <item x="11"/>
        <item x="4"/>
        <item x="13"/>
        <item x="86"/>
        <item x="75"/>
        <item x="49"/>
        <item x="55"/>
        <item x="56"/>
        <item x="51"/>
        <item x="46"/>
        <item x="28"/>
        <item x="77"/>
        <item x="83"/>
        <item x="0"/>
        <item x="22"/>
        <item x="23"/>
        <item x="24"/>
        <item x="26"/>
        <item x="27"/>
        <item x="37"/>
        <item x="38"/>
        <item x="39"/>
        <item x="50"/>
        <item x="53"/>
        <item x="54"/>
        <item x="60"/>
        <item x="64"/>
        <item x="71"/>
        <item x="80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5">
    <field x="0"/>
    <field x="2"/>
    <field x="3"/>
    <field x="4"/>
    <field x="5"/>
  </rowFields>
  <rowItems count="99">
    <i>
      <x/>
      <x v="6"/>
      <x v="25"/>
      <x v="30"/>
      <x v="32"/>
    </i>
    <i>
      <x v="1"/>
      <x v="6"/>
      <x v="25"/>
      <x v="30"/>
      <x v="17"/>
    </i>
    <i>
      <x v="2"/>
      <x v="6"/>
      <x v="25"/>
      <x v="30"/>
      <x v="30"/>
    </i>
    <i>
      <x v="3"/>
      <x v="6"/>
      <x v="12"/>
      <x v="23"/>
      <x v="61"/>
    </i>
    <i>
      <x v="4"/>
      <x v="6"/>
      <x v="12"/>
      <x v="23"/>
      <x v="14"/>
    </i>
    <i>
      <x v="5"/>
      <x v="6"/>
      <x v="12"/>
      <x v="23"/>
      <x v="13"/>
    </i>
    <i>
      <x v="6"/>
      <x v="6"/>
      <x v="26"/>
      <x v="27"/>
      <x v="19"/>
    </i>
    <i>
      <x v="7"/>
      <x v="6"/>
      <x v="26"/>
      <x v="27"/>
      <x v="57"/>
    </i>
    <i>
      <x v="8"/>
      <x v="6"/>
      <x v="26"/>
      <x v="27"/>
      <x v="58"/>
    </i>
    <i>
      <x v="9"/>
      <x v="6"/>
      <x v="3"/>
      <x v="45"/>
      <x v="16"/>
    </i>
    <i>
      <x v="10"/>
      <x v="6"/>
      <x v="3"/>
      <x v="45"/>
      <x v="60"/>
    </i>
    <i>
      <x v="11"/>
      <x v="6"/>
      <x v="3"/>
      <x v="45"/>
      <x v="15"/>
    </i>
    <i>
      <x v="12"/>
      <x/>
      <x v="7"/>
      <x v="49"/>
      <x v="62"/>
    </i>
    <i>
      <x v="13"/>
      <x/>
      <x v="7"/>
      <x v="49"/>
      <x v="28"/>
    </i>
    <i>
      <x v="14"/>
      <x/>
      <x v="7"/>
      <x v="49"/>
      <x v="27"/>
    </i>
    <i>
      <x v="15"/>
      <x/>
      <x v="6"/>
      <x v="33"/>
      <x v="36"/>
    </i>
    <i>
      <x v="16"/>
      <x/>
      <x v="6"/>
      <x v="33"/>
      <x v="20"/>
    </i>
    <i>
      <x v="17"/>
      <x/>
      <x v="5"/>
      <x v="10"/>
      <x v="53"/>
    </i>
    <i>
      <x v="18"/>
      <x/>
      <x v="5"/>
      <x v="10"/>
      <x v="11"/>
    </i>
    <i>
      <x v="19"/>
      <x/>
      <x v="22"/>
      <x v="57"/>
      <x v="35"/>
    </i>
    <i>
      <x v="20"/>
      <x/>
      <x v="22"/>
      <x v="57"/>
      <x v="34"/>
    </i>
    <i>
      <x v="21"/>
      <x/>
      <x v="22"/>
      <x v="57"/>
      <x v="74"/>
    </i>
    <i>
      <x v="22"/>
      <x/>
      <x v="41"/>
      <x v="11"/>
      <x v="75"/>
    </i>
    <i>
      <x v="23"/>
      <x/>
      <x v="41"/>
      <x v="18"/>
      <x v="76"/>
    </i>
    <i>
      <x v="24"/>
      <x/>
      <x v="41"/>
      <x v="18"/>
      <x v="23"/>
    </i>
    <i>
      <x v="25"/>
      <x v="7"/>
      <x v="28"/>
      <x v="8"/>
      <x v="77"/>
    </i>
    <i>
      <x v="26"/>
      <x v="7"/>
      <x v="28"/>
      <x v="13"/>
      <x v="78"/>
    </i>
    <i>
      <x v="27"/>
      <x v="7"/>
      <x v="16"/>
      <x v="37"/>
      <x v="70"/>
    </i>
    <i>
      <x v="28"/>
      <x v="7"/>
      <x v="16"/>
      <x v="42"/>
      <x v="40"/>
    </i>
    <i>
      <x v="29"/>
      <x v="7"/>
      <x v="16"/>
      <x v="26"/>
      <x v="45"/>
    </i>
    <i>
      <x v="30"/>
      <x v="7"/>
      <x v="16"/>
      <x v="53"/>
      <x v="3"/>
    </i>
    <i>
      <x v="31"/>
      <x v="7"/>
      <x v="16"/>
      <x v="32"/>
      <x v="22"/>
    </i>
    <i>
      <x v="32"/>
      <x v="7"/>
      <x v="11"/>
      <x v="21"/>
      <x v="29"/>
    </i>
    <i>
      <x v="33"/>
      <x v="7"/>
      <x v="11"/>
      <x v="22"/>
      <x v="8"/>
    </i>
    <i>
      <x v="34"/>
      <x v="7"/>
      <x v="32"/>
      <x v="1"/>
      <x v="54"/>
    </i>
    <i>
      <x v="35"/>
      <x v="8"/>
      <x v="33"/>
      <x v="2"/>
      <x v="9"/>
    </i>
    <i>
      <x v="36"/>
      <x v="8"/>
      <x v="33"/>
      <x v="2"/>
      <x v="79"/>
    </i>
    <i>
      <x v="37"/>
      <x v="8"/>
      <x v="24"/>
      <x v="48"/>
      <x v="80"/>
    </i>
    <i>
      <x v="38"/>
      <x v="8"/>
      <x/>
      <x v="61"/>
      <x v="81"/>
    </i>
    <i>
      <x v="39"/>
      <x v="8"/>
      <x v="14"/>
      <x v="36"/>
      <x/>
    </i>
    <i>
      <x v="40"/>
      <x v="8"/>
      <x v="14"/>
      <x v="41"/>
      <x v="41"/>
    </i>
    <i>
      <x v="41"/>
      <x v="8"/>
      <x v="14"/>
      <x v="54"/>
      <x v="3"/>
    </i>
    <i>
      <x v="42"/>
      <x v="8"/>
      <x v="14"/>
      <x v="25"/>
      <x v="46"/>
    </i>
    <i>
      <x v="43"/>
      <x v="8"/>
      <x v="30"/>
      <x v="43"/>
      <x v="59"/>
    </i>
    <i>
      <x v="44"/>
      <x v="8"/>
      <x v="19"/>
      <x v="31"/>
      <x v="49"/>
    </i>
    <i>
      <x v="45"/>
      <x v="2"/>
      <x v="4"/>
      <x v="20"/>
      <x v="12"/>
    </i>
    <i>
      <x v="46"/>
      <x v="2"/>
      <x v="15"/>
      <x v="35"/>
      <x v="69"/>
    </i>
    <i>
      <x v="47"/>
      <x v="2"/>
      <x v="15"/>
      <x v="40"/>
      <x v="40"/>
    </i>
    <i>
      <x v="48"/>
      <x v="2"/>
      <x v="15"/>
      <x v="52"/>
      <x v="2"/>
    </i>
    <i>
      <x v="49"/>
      <x v="2"/>
      <x v="15"/>
      <x v="24"/>
      <x v="45"/>
    </i>
    <i>
      <x v="50"/>
      <x v="2"/>
      <x v="20"/>
      <x v="12"/>
      <x v="50"/>
    </i>
    <i>
      <x v="51"/>
      <x v="9"/>
      <x v="35"/>
      <x v="50"/>
      <x v="65"/>
    </i>
    <i>
      <x v="52"/>
      <x v="9"/>
      <x v="10"/>
      <x v="4"/>
      <x v="82"/>
    </i>
    <i>
      <x v="53"/>
      <x v="9"/>
      <x v="17"/>
      <x v="35"/>
      <x v="68"/>
    </i>
    <i>
      <x v="54"/>
      <x v="9"/>
      <x v="17"/>
      <x v="40"/>
      <x v="40"/>
    </i>
    <i>
      <x v="55"/>
      <x v="9"/>
      <x v="17"/>
      <x v="52"/>
      <x v="1"/>
    </i>
    <i>
      <x v="56"/>
      <x v="9"/>
      <x v="17"/>
      <x v="62"/>
      <x v="83"/>
    </i>
    <i r="2">
      <x v="31"/>
      <x v="59"/>
      <x v="84"/>
    </i>
    <i>
      <x v="57"/>
      <x v="9"/>
      <x v="9"/>
      <x v="46"/>
      <x v="66"/>
    </i>
    <i>
      <x v="58"/>
      <x v="10"/>
      <x v="37"/>
      <x v="34"/>
      <x v="67"/>
    </i>
    <i>
      <x v="59"/>
      <x v="10"/>
      <x v="36"/>
      <x v="58"/>
      <x v="4"/>
    </i>
    <i>
      <x v="60"/>
      <x v="10"/>
      <x v="36"/>
      <x v="55"/>
      <x v="33"/>
    </i>
    <i>
      <x v="61"/>
      <x v="11"/>
      <x v="39"/>
      <x v="46"/>
      <x v="18"/>
    </i>
    <i>
      <x v="62"/>
      <x v="11"/>
      <x v="38"/>
      <x v="7"/>
      <x v="82"/>
    </i>
    <i>
      <x v="63"/>
      <x v="11"/>
      <x v="38"/>
      <x v="5"/>
      <x v="78"/>
    </i>
    <i>
      <x v="64"/>
      <x v="11"/>
      <x v="38"/>
      <x v="38"/>
      <x v="85"/>
    </i>
    <i>
      <x v="65"/>
      <x v="11"/>
      <x v="38"/>
      <x v="24"/>
      <x v="44"/>
    </i>
    <i>
      <x v="66"/>
      <x v="11"/>
      <x v="38"/>
      <x v="32"/>
      <x v="48"/>
    </i>
    <i>
      <x v="67"/>
      <x v="11"/>
      <x v="38"/>
      <x v="47"/>
      <x v="25"/>
    </i>
    <i>
      <x v="68"/>
      <x v="11"/>
      <x v="38"/>
      <x v="44"/>
      <x v="86"/>
    </i>
    <i>
      <x v="69"/>
      <x v="11"/>
      <x v="18"/>
      <x v="19"/>
      <x v="55"/>
    </i>
    <i>
      <x v="70"/>
      <x v="11"/>
      <x v="32"/>
      <x v="1"/>
      <x v="5"/>
    </i>
    <i>
      <x v="71"/>
      <x v="1"/>
      <x v="21"/>
      <x v="16"/>
      <x v="52"/>
    </i>
    <i>
      <x v="72"/>
      <x v="1"/>
      <x v="40"/>
      <x v="17"/>
      <x v="47"/>
    </i>
    <i>
      <x v="73"/>
      <x v="12"/>
      <x v="8"/>
      <x v="15"/>
      <x v="24"/>
    </i>
    <i>
      <x v="74"/>
      <x v="12"/>
      <x v="27"/>
      <x v="59"/>
      <x v="38"/>
    </i>
    <i>
      <x v="75"/>
      <x v="12"/>
      <x v="27"/>
      <x v="59"/>
      <x v="87"/>
    </i>
    <i r="2">
      <x v="32"/>
      <x v="17"/>
      <x v="7"/>
    </i>
    <i>
      <x v="76"/>
      <x v="4"/>
      <x v="32"/>
      <x v="55"/>
      <x v="31"/>
    </i>
    <i>
      <x v="77"/>
      <x v="4"/>
      <x v="32"/>
      <x v="9"/>
      <x v="37"/>
    </i>
    <i>
      <x v="78"/>
      <x v="4"/>
      <x v="32"/>
      <x/>
      <x v="64"/>
    </i>
    <i>
      <x v="79"/>
      <x v="4"/>
      <x v="32"/>
      <x v="28"/>
      <x v="42"/>
    </i>
    <i>
      <x v="80"/>
      <x v="4"/>
      <x v="32"/>
      <x v="3"/>
      <x v="71"/>
    </i>
    <i>
      <x v="81"/>
      <x v="4"/>
      <x v="32"/>
      <x v="6"/>
      <x v="51"/>
    </i>
    <i>
      <x v="82"/>
      <x v="4"/>
      <x v="32"/>
      <x v="17"/>
      <x v="26"/>
    </i>
    <i>
      <x v="83"/>
      <x v="3"/>
      <x v="21"/>
      <x v="17"/>
      <x v="88"/>
    </i>
    <i>
      <x v="84"/>
      <x v="3"/>
      <x v="1"/>
      <x v="4"/>
      <x v="21"/>
    </i>
    <i>
      <x v="85"/>
      <x v="3"/>
      <x v="1"/>
      <x v="35"/>
      <x v="69"/>
    </i>
    <i>
      <x v="86"/>
      <x v="3"/>
      <x v="1"/>
      <x v="40"/>
      <x v="40"/>
    </i>
    <i>
      <x v="87"/>
      <x v="3"/>
      <x v="1"/>
      <x v="52"/>
      <x v="2"/>
    </i>
    <i>
      <x v="88"/>
      <x v="3"/>
      <x v="1"/>
      <x v="24"/>
      <x v="44"/>
    </i>
    <i>
      <x v="89"/>
      <x v="3"/>
      <x v="1"/>
      <x v="5"/>
      <x v="39"/>
    </i>
    <i>
      <x v="90"/>
      <x v="3"/>
      <x v="23"/>
      <x v="56"/>
      <x v="72"/>
    </i>
    <i>
      <x v="91"/>
      <x v="3"/>
      <x v="34"/>
      <x v="29"/>
      <x v="56"/>
    </i>
    <i>
      <x v="92"/>
      <x v="5"/>
      <x v="13"/>
      <x v="51"/>
      <x v="43"/>
    </i>
    <i>
      <x v="93"/>
      <x v="5"/>
      <x v="23"/>
      <x v="39"/>
      <x v="63"/>
    </i>
    <i>
      <x v="94"/>
      <x v="5"/>
      <x v="29"/>
      <x v="19"/>
      <x v="6"/>
    </i>
    <i>
      <x v="95"/>
      <x v="5"/>
      <x v="2"/>
      <x v="14"/>
      <x v="10"/>
    </i>
    <i>
      <x v="96"/>
      <x v="13"/>
      <x v="42"/>
      <x v="60"/>
      <x v="73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TM16400962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6528F7"/>
      </a:accent1>
      <a:accent2>
        <a:srgbClr val="D800A6"/>
      </a:accent2>
      <a:accent3>
        <a:srgbClr val="7ECA9C"/>
      </a:accent3>
      <a:accent4>
        <a:srgbClr val="00ABB3"/>
      </a:accent4>
      <a:accent5>
        <a:srgbClr val="FFE227"/>
      </a:accent5>
      <a:accent6>
        <a:srgbClr val="1363DF"/>
      </a:accent6>
      <a:hlink>
        <a:srgbClr val="467886"/>
      </a:hlink>
      <a:folHlink>
        <a:srgbClr val="96607D"/>
      </a:folHlink>
    </a:clrScheme>
    <a:fontScheme name="Custom 32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A3A86-2A2C-433F-930E-03C6160CA9F5}">
  <dimension ref="A4:E103"/>
  <sheetViews>
    <sheetView workbookViewId="0">
      <selection activeCell="E14" sqref="E14"/>
    </sheetView>
  </sheetViews>
  <sheetFormatPr defaultRowHeight="14.25"/>
  <cols>
    <col min="1" max="1" width="8.875" bestFit="1" customWidth="1"/>
    <col min="2" max="2" width="33.125" bestFit="1" customWidth="1"/>
    <col min="3" max="3" width="22.625" bestFit="1" customWidth="1"/>
    <col min="4" max="4" width="21" bestFit="1" customWidth="1"/>
    <col min="5" max="5" width="40.5" bestFit="1" customWidth="1"/>
  </cols>
  <sheetData>
    <row r="4" spans="1:5">
      <c r="A4" s="26" t="s">
        <v>0</v>
      </c>
      <c r="B4" s="26" t="s">
        <v>1</v>
      </c>
      <c r="C4" s="26" t="s">
        <v>2</v>
      </c>
      <c r="D4" s="26" t="s">
        <v>3</v>
      </c>
      <c r="E4" s="26" t="s">
        <v>4</v>
      </c>
    </row>
    <row r="5" spans="1:5">
      <c r="A5">
        <v>1</v>
      </c>
      <c r="B5" t="s">
        <v>5</v>
      </c>
      <c r="C5" t="s">
        <v>6</v>
      </c>
      <c r="D5" t="s">
        <v>7</v>
      </c>
      <c r="E5" t="s">
        <v>8</v>
      </c>
    </row>
    <row r="6" spans="1:5">
      <c r="A6">
        <v>2</v>
      </c>
      <c r="B6" t="s">
        <v>5</v>
      </c>
      <c r="C6" t="s">
        <v>6</v>
      </c>
      <c r="D6" t="s">
        <v>7</v>
      </c>
      <c r="E6" t="s">
        <v>9</v>
      </c>
    </row>
    <row r="7" spans="1:5">
      <c r="A7">
        <v>3</v>
      </c>
      <c r="B7" t="s">
        <v>5</v>
      </c>
      <c r="C7" t="s">
        <v>6</v>
      </c>
      <c r="D7" t="s">
        <v>7</v>
      </c>
      <c r="E7" t="s">
        <v>10</v>
      </c>
    </row>
    <row r="8" spans="1:5">
      <c r="A8">
        <v>4</v>
      </c>
      <c r="B8" t="s">
        <v>5</v>
      </c>
      <c r="C8" t="s">
        <v>11</v>
      </c>
      <c r="D8" t="s">
        <v>12</v>
      </c>
      <c r="E8" t="s">
        <v>13</v>
      </c>
    </row>
    <row r="9" spans="1:5">
      <c r="A9">
        <v>5</v>
      </c>
      <c r="B9" t="s">
        <v>5</v>
      </c>
      <c r="C9" t="s">
        <v>11</v>
      </c>
      <c r="D9" t="s">
        <v>12</v>
      </c>
      <c r="E9" t="s">
        <v>14</v>
      </c>
    </row>
    <row r="10" spans="1:5">
      <c r="A10">
        <v>6</v>
      </c>
      <c r="B10" t="s">
        <v>5</v>
      </c>
      <c r="C10" t="s">
        <v>11</v>
      </c>
      <c r="D10" t="s">
        <v>12</v>
      </c>
      <c r="E10" t="s">
        <v>15</v>
      </c>
    </row>
    <row r="11" spans="1:5">
      <c r="A11">
        <v>7</v>
      </c>
      <c r="B11" t="s">
        <v>5</v>
      </c>
      <c r="C11" t="s">
        <v>16</v>
      </c>
      <c r="D11" t="s">
        <v>17</v>
      </c>
      <c r="E11" t="s">
        <v>18</v>
      </c>
    </row>
    <row r="12" spans="1:5">
      <c r="A12">
        <v>8</v>
      </c>
      <c r="B12" t="s">
        <v>5</v>
      </c>
      <c r="C12" t="s">
        <v>16</v>
      </c>
      <c r="D12" t="s">
        <v>17</v>
      </c>
      <c r="E12" t="s">
        <v>19</v>
      </c>
    </row>
    <row r="13" spans="1:5">
      <c r="A13">
        <v>9</v>
      </c>
      <c r="B13" t="s">
        <v>5</v>
      </c>
      <c r="C13" t="s">
        <v>16</v>
      </c>
      <c r="D13" t="s">
        <v>17</v>
      </c>
      <c r="E13" t="s">
        <v>20</v>
      </c>
    </row>
    <row r="14" spans="1:5">
      <c r="A14">
        <v>10</v>
      </c>
      <c r="B14" t="s">
        <v>5</v>
      </c>
      <c r="C14" t="s">
        <v>21</v>
      </c>
      <c r="D14" t="s">
        <v>22</v>
      </c>
      <c r="E14" t="s">
        <v>23</v>
      </c>
    </row>
    <row r="15" spans="1:5">
      <c r="A15">
        <v>11</v>
      </c>
      <c r="B15" t="s">
        <v>5</v>
      </c>
      <c r="C15" t="s">
        <v>21</v>
      </c>
      <c r="D15" t="s">
        <v>22</v>
      </c>
      <c r="E15" t="s">
        <v>24</v>
      </c>
    </row>
    <row r="16" spans="1:5">
      <c r="A16">
        <v>12</v>
      </c>
      <c r="B16" t="s">
        <v>5</v>
      </c>
      <c r="C16" t="s">
        <v>21</v>
      </c>
      <c r="D16" t="s">
        <v>22</v>
      </c>
      <c r="E16" t="s">
        <v>25</v>
      </c>
    </row>
    <row r="17" spans="1:5">
      <c r="A17">
        <v>13</v>
      </c>
      <c r="B17" t="s">
        <v>26</v>
      </c>
      <c r="C17" t="s">
        <v>27</v>
      </c>
      <c r="D17" t="s">
        <v>28</v>
      </c>
      <c r="E17" t="s">
        <v>29</v>
      </c>
    </row>
    <row r="18" spans="1:5">
      <c r="A18">
        <v>14</v>
      </c>
      <c r="B18" t="s">
        <v>26</v>
      </c>
      <c r="C18" t="s">
        <v>27</v>
      </c>
      <c r="D18" t="s">
        <v>28</v>
      </c>
      <c r="E18" t="s">
        <v>30</v>
      </c>
    </row>
    <row r="19" spans="1:5">
      <c r="A19">
        <v>15</v>
      </c>
      <c r="B19" t="s">
        <v>26</v>
      </c>
      <c r="C19" t="s">
        <v>27</v>
      </c>
      <c r="D19" t="s">
        <v>28</v>
      </c>
      <c r="E19" t="s">
        <v>31</v>
      </c>
    </row>
    <row r="20" spans="1:5">
      <c r="A20">
        <v>16</v>
      </c>
      <c r="B20" t="s">
        <v>26</v>
      </c>
      <c r="C20" t="s">
        <v>32</v>
      </c>
      <c r="D20" t="s">
        <v>33</v>
      </c>
      <c r="E20" t="s">
        <v>34</v>
      </c>
    </row>
    <row r="21" spans="1:5">
      <c r="A21">
        <v>17</v>
      </c>
      <c r="B21" t="s">
        <v>26</v>
      </c>
      <c r="C21" t="s">
        <v>32</v>
      </c>
      <c r="D21" t="s">
        <v>33</v>
      </c>
      <c r="E21" t="s">
        <v>35</v>
      </c>
    </row>
    <row r="22" spans="1:5">
      <c r="A22">
        <v>18</v>
      </c>
      <c r="B22" t="s">
        <v>26</v>
      </c>
      <c r="C22" t="s">
        <v>36</v>
      </c>
      <c r="D22" t="s">
        <v>37</v>
      </c>
      <c r="E22" t="s">
        <v>38</v>
      </c>
    </row>
    <row r="23" spans="1:5">
      <c r="A23">
        <v>19</v>
      </c>
      <c r="B23" t="s">
        <v>26</v>
      </c>
      <c r="C23" t="s">
        <v>36</v>
      </c>
      <c r="D23" t="s">
        <v>37</v>
      </c>
      <c r="E23" t="s">
        <v>39</v>
      </c>
    </row>
    <row r="24" spans="1:5">
      <c r="A24">
        <v>20</v>
      </c>
      <c r="B24" t="s">
        <v>26</v>
      </c>
      <c r="C24" t="s">
        <v>40</v>
      </c>
      <c r="D24" t="s">
        <v>41</v>
      </c>
      <c r="E24" t="s">
        <v>42</v>
      </c>
    </row>
    <row r="25" spans="1:5">
      <c r="A25">
        <v>21</v>
      </c>
      <c r="B25" t="s">
        <v>26</v>
      </c>
      <c r="C25" t="s">
        <v>40</v>
      </c>
      <c r="D25" t="s">
        <v>41</v>
      </c>
      <c r="E25" t="s">
        <v>43</v>
      </c>
    </row>
    <row r="26" spans="1:5">
      <c r="A26">
        <v>22</v>
      </c>
      <c r="B26" t="s">
        <v>26</v>
      </c>
      <c r="C26" t="s">
        <v>40</v>
      </c>
      <c r="D26" t="s">
        <v>41</v>
      </c>
      <c r="E26" t="s">
        <v>44</v>
      </c>
    </row>
    <row r="27" spans="1:5">
      <c r="A27">
        <v>23</v>
      </c>
      <c r="B27" t="s">
        <v>26</v>
      </c>
      <c r="C27" t="s">
        <v>45</v>
      </c>
      <c r="D27" t="s">
        <v>46</v>
      </c>
      <c r="E27" t="s">
        <v>47</v>
      </c>
    </row>
    <row r="28" spans="1:5">
      <c r="A28">
        <v>24</v>
      </c>
      <c r="B28" t="s">
        <v>26</v>
      </c>
      <c r="C28" t="s">
        <v>45</v>
      </c>
      <c r="D28" t="s">
        <v>48</v>
      </c>
      <c r="E28" t="s">
        <v>49</v>
      </c>
    </row>
    <row r="29" spans="1:5">
      <c r="A29">
        <v>25</v>
      </c>
      <c r="B29" t="s">
        <v>26</v>
      </c>
      <c r="C29" t="s">
        <v>45</v>
      </c>
      <c r="D29" t="s">
        <v>48</v>
      </c>
      <c r="E29" t="s">
        <v>50</v>
      </c>
    </row>
    <row r="30" spans="1:5">
      <c r="A30">
        <v>26</v>
      </c>
      <c r="B30" t="s">
        <v>51</v>
      </c>
      <c r="C30" t="s">
        <v>52</v>
      </c>
      <c r="D30" t="s">
        <v>53</v>
      </c>
      <c r="E30" t="s">
        <v>54</v>
      </c>
    </row>
    <row r="31" spans="1:5">
      <c r="A31">
        <v>27</v>
      </c>
      <c r="B31" t="s">
        <v>51</v>
      </c>
      <c r="C31" t="s">
        <v>52</v>
      </c>
      <c r="D31" t="s">
        <v>55</v>
      </c>
      <c r="E31" t="s">
        <v>56</v>
      </c>
    </row>
    <row r="32" spans="1:5">
      <c r="A32">
        <v>28</v>
      </c>
      <c r="B32" t="s">
        <v>51</v>
      </c>
      <c r="C32" t="s">
        <v>57</v>
      </c>
      <c r="D32" t="s">
        <v>58</v>
      </c>
      <c r="E32" t="s">
        <v>59</v>
      </c>
    </row>
    <row r="33" spans="1:5">
      <c r="A33">
        <v>29</v>
      </c>
      <c r="B33" t="s">
        <v>51</v>
      </c>
      <c r="C33" t="s">
        <v>57</v>
      </c>
      <c r="D33" t="s">
        <v>60</v>
      </c>
      <c r="E33" t="s">
        <v>61</v>
      </c>
    </row>
    <row r="34" spans="1:5">
      <c r="A34">
        <v>30</v>
      </c>
      <c r="B34" t="s">
        <v>51</v>
      </c>
      <c r="C34" t="s">
        <v>57</v>
      </c>
      <c r="D34" t="s">
        <v>62</v>
      </c>
      <c r="E34" t="s">
        <v>63</v>
      </c>
    </row>
    <row r="35" spans="1:5">
      <c r="A35">
        <v>31</v>
      </c>
      <c r="B35" t="s">
        <v>51</v>
      </c>
      <c r="C35" t="s">
        <v>57</v>
      </c>
      <c r="D35" t="s">
        <v>64</v>
      </c>
      <c r="E35" t="s">
        <v>65</v>
      </c>
    </row>
    <row r="36" spans="1:5">
      <c r="A36">
        <v>32</v>
      </c>
      <c r="B36" t="s">
        <v>51</v>
      </c>
      <c r="C36" t="s">
        <v>57</v>
      </c>
      <c r="D36" t="s">
        <v>66</v>
      </c>
      <c r="E36" t="s">
        <v>67</v>
      </c>
    </row>
    <row r="37" spans="1:5">
      <c r="A37">
        <v>33</v>
      </c>
      <c r="B37" t="s">
        <v>51</v>
      </c>
      <c r="C37" t="s">
        <v>68</v>
      </c>
      <c r="D37" t="s">
        <v>69</v>
      </c>
      <c r="E37" t="s">
        <v>70</v>
      </c>
    </row>
    <row r="38" spans="1:5">
      <c r="A38">
        <v>34</v>
      </c>
      <c r="B38" t="s">
        <v>51</v>
      </c>
      <c r="C38" t="s">
        <v>68</v>
      </c>
      <c r="D38" t="s">
        <v>71</v>
      </c>
      <c r="E38" t="s">
        <v>72</v>
      </c>
    </row>
    <row r="39" spans="1:5">
      <c r="A39">
        <v>35</v>
      </c>
      <c r="B39" t="s">
        <v>51</v>
      </c>
      <c r="C39" t="s">
        <v>73</v>
      </c>
      <c r="D39" t="s">
        <v>74</v>
      </c>
      <c r="E39" t="s">
        <v>75</v>
      </c>
    </row>
    <row r="40" spans="1:5">
      <c r="A40">
        <v>36</v>
      </c>
      <c r="B40" t="s">
        <v>76</v>
      </c>
      <c r="C40" t="s">
        <v>77</v>
      </c>
      <c r="D40" t="s">
        <v>78</v>
      </c>
      <c r="E40" t="s">
        <v>79</v>
      </c>
    </row>
    <row r="41" spans="1:5">
      <c r="A41">
        <v>37</v>
      </c>
      <c r="B41" t="s">
        <v>76</v>
      </c>
      <c r="C41" t="s">
        <v>77</v>
      </c>
      <c r="D41" t="s">
        <v>78</v>
      </c>
      <c r="E41" t="s">
        <v>80</v>
      </c>
    </row>
    <row r="42" spans="1:5">
      <c r="A42">
        <v>38</v>
      </c>
      <c r="B42" t="s">
        <v>76</v>
      </c>
      <c r="C42" t="s">
        <v>81</v>
      </c>
      <c r="D42" t="s">
        <v>82</v>
      </c>
      <c r="E42" t="s">
        <v>83</v>
      </c>
    </row>
    <row r="43" spans="1:5">
      <c r="A43">
        <v>39</v>
      </c>
      <c r="B43" t="s">
        <v>76</v>
      </c>
      <c r="C43" t="s">
        <v>84</v>
      </c>
      <c r="D43" t="s">
        <v>85</v>
      </c>
      <c r="E43" t="s">
        <v>86</v>
      </c>
    </row>
    <row r="44" spans="1:5">
      <c r="A44">
        <v>40</v>
      </c>
      <c r="B44" t="s">
        <v>76</v>
      </c>
      <c r="C44" t="s">
        <v>87</v>
      </c>
      <c r="D44" t="s">
        <v>88</v>
      </c>
      <c r="E44" t="s">
        <v>89</v>
      </c>
    </row>
    <row r="45" spans="1:5">
      <c r="A45">
        <v>41</v>
      </c>
      <c r="B45" t="s">
        <v>76</v>
      </c>
      <c r="C45" t="s">
        <v>87</v>
      </c>
      <c r="D45" t="s">
        <v>90</v>
      </c>
      <c r="E45" t="s">
        <v>91</v>
      </c>
    </row>
    <row r="46" spans="1:5">
      <c r="A46">
        <v>42</v>
      </c>
      <c r="B46" t="s">
        <v>76</v>
      </c>
      <c r="C46" t="s">
        <v>87</v>
      </c>
      <c r="D46" t="s">
        <v>92</v>
      </c>
      <c r="E46" t="s">
        <v>65</v>
      </c>
    </row>
    <row r="47" spans="1:5">
      <c r="A47">
        <v>43</v>
      </c>
      <c r="B47" t="s">
        <v>76</v>
      </c>
      <c r="C47" t="s">
        <v>87</v>
      </c>
      <c r="D47" t="s">
        <v>93</v>
      </c>
      <c r="E47" t="s">
        <v>94</v>
      </c>
    </row>
    <row r="48" spans="1:5">
      <c r="A48">
        <v>44</v>
      </c>
      <c r="B48" t="s">
        <v>76</v>
      </c>
      <c r="C48" t="s">
        <v>95</v>
      </c>
      <c r="D48" t="s">
        <v>96</v>
      </c>
      <c r="E48" t="s">
        <v>97</v>
      </c>
    </row>
    <row r="49" spans="1:5">
      <c r="A49">
        <v>45</v>
      </c>
      <c r="B49" t="s">
        <v>76</v>
      </c>
      <c r="C49" t="s">
        <v>98</v>
      </c>
      <c r="D49" t="s">
        <v>99</v>
      </c>
      <c r="E49" t="s">
        <v>100</v>
      </c>
    </row>
    <row r="50" spans="1:5">
      <c r="A50">
        <v>46</v>
      </c>
      <c r="B50" t="s">
        <v>101</v>
      </c>
      <c r="C50" t="s">
        <v>102</v>
      </c>
      <c r="D50" t="s">
        <v>103</v>
      </c>
      <c r="E50" t="s">
        <v>104</v>
      </c>
    </row>
    <row r="51" spans="1:5">
      <c r="A51">
        <v>47</v>
      </c>
      <c r="B51" t="s">
        <v>101</v>
      </c>
      <c r="C51" t="s">
        <v>105</v>
      </c>
      <c r="D51" t="s">
        <v>106</v>
      </c>
      <c r="E51" t="s">
        <v>107</v>
      </c>
    </row>
    <row r="52" spans="1:5">
      <c r="A52">
        <v>48</v>
      </c>
      <c r="B52" t="s">
        <v>101</v>
      </c>
      <c r="C52" t="s">
        <v>105</v>
      </c>
      <c r="D52" t="s">
        <v>108</v>
      </c>
      <c r="E52" t="s">
        <v>61</v>
      </c>
    </row>
    <row r="53" spans="1:5">
      <c r="A53">
        <v>49</v>
      </c>
      <c r="B53" t="s">
        <v>101</v>
      </c>
      <c r="C53" t="s">
        <v>105</v>
      </c>
      <c r="D53" t="s">
        <v>109</v>
      </c>
      <c r="E53" t="s">
        <v>110</v>
      </c>
    </row>
    <row r="54" spans="1:5">
      <c r="A54">
        <v>50</v>
      </c>
      <c r="B54" t="s">
        <v>101</v>
      </c>
      <c r="C54" t="s">
        <v>105</v>
      </c>
      <c r="D54" t="s">
        <v>111</v>
      </c>
      <c r="E54" t="s">
        <v>63</v>
      </c>
    </row>
    <row r="55" spans="1:5">
      <c r="A55">
        <v>51</v>
      </c>
      <c r="B55" t="s">
        <v>101</v>
      </c>
      <c r="C55" t="s">
        <v>112</v>
      </c>
      <c r="D55" t="s">
        <v>113</v>
      </c>
      <c r="E55" t="s">
        <v>114</v>
      </c>
    </row>
    <row r="56" spans="1:5">
      <c r="A56">
        <v>52</v>
      </c>
      <c r="B56" t="s">
        <v>115</v>
      </c>
      <c r="C56" t="s">
        <v>116</v>
      </c>
      <c r="D56" t="s">
        <v>117</v>
      </c>
      <c r="E56" t="s">
        <v>118</v>
      </c>
    </row>
    <row r="57" spans="1:5">
      <c r="A57">
        <v>53</v>
      </c>
      <c r="B57" t="s">
        <v>115</v>
      </c>
      <c r="C57" t="s">
        <v>119</v>
      </c>
      <c r="D57" t="s">
        <v>120</v>
      </c>
      <c r="E57" t="s">
        <v>121</v>
      </c>
    </row>
    <row r="58" spans="1:5">
      <c r="A58">
        <v>54</v>
      </c>
      <c r="B58" t="s">
        <v>115</v>
      </c>
      <c r="C58" t="s">
        <v>122</v>
      </c>
      <c r="D58" t="s">
        <v>106</v>
      </c>
      <c r="E58" t="s">
        <v>123</v>
      </c>
    </row>
    <row r="59" spans="1:5">
      <c r="A59">
        <v>55</v>
      </c>
      <c r="B59" t="s">
        <v>115</v>
      </c>
      <c r="C59" t="s">
        <v>122</v>
      </c>
      <c r="D59" t="s">
        <v>108</v>
      </c>
      <c r="E59" t="s">
        <v>61</v>
      </c>
    </row>
    <row r="60" spans="1:5">
      <c r="A60">
        <v>56</v>
      </c>
      <c r="B60" t="s">
        <v>115</v>
      </c>
      <c r="C60" t="s">
        <v>122</v>
      </c>
      <c r="D60" t="s">
        <v>109</v>
      </c>
      <c r="E60" t="s">
        <v>124</v>
      </c>
    </row>
    <row r="61" spans="1:5">
      <c r="A61">
        <v>57</v>
      </c>
      <c r="B61" t="s">
        <v>115</v>
      </c>
      <c r="C61" t="s">
        <v>122</v>
      </c>
      <c r="D61" t="s">
        <v>125</v>
      </c>
      <c r="E61" t="s">
        <v>125</v>
      </c>
    </row>
    <row r="62" spans="1:5">
      <c r="C62" t="s">
        <v>126</v>
      </c>
      <c r="D62" t="s">
        <v>127</v>
      </c>
      <c r="E62" t="s">
        <v>128</v>
      </c>
    </row>
    <row r="63" spans="1:5">
      <c r="A63">
        <v>58</v>
      </c>
      <c r="B63" t="s">
        <v>115</v>
      </c>
      <c r="C63" t="s">
        <v>129</v>
      </c>
      <c r="D63" t="s">
        <v>130</v>
      </c>
      <c r="E63" t="s">
        <v>131</v>
      </c>
    </row>
    <row r="64" spans="1:5">
      <c r="A64">
        <v>59</v>
      </c>
      <c r="B64" t="s">
        <v>132</v>
      </c>
      <c r="C64" t="s">
        <v>133</v>
      </c>
      <c r="D64" t="s">
        <v>134</v>
      </c>
      <c r="E64" t="s">
        <v>135</v>
      </c>
    </row>
    <row r="65" spans="1:5">
      <c r="A65">
        <v>60</v>
      </c>
      <c r="B65" t="s">
        <v>132</v>
      </c>
      <c r="C65" t="s">
        <v>136</v>
      </c>
      <c r="D65" t="s">
        <v>137</v>
      </c>
      <c r="E65" t="s">
        <v>138</v>
      </c>
    </row>
    <row r="66" spans="1:5">
      <c r="A66">
        <v>61</v>
      </c>
      <c r="B66" t="s">
        <v>132</v>
      </c>
      <c r="C66" t="s">
        <v>136</v>
      </c>
      <c r="D66" t="s">
        <v>139</v>
      </c>
      <c r="E66" t="s">
        <v>140</v>
      </c>
    </row>
    <row r="67" spans="1:5">
      <c r="A67">
        <v>62</v>
      </c>
      <c r="B67" t="s">
        <v>141</v>
      </c>
      <c r="C67" t="s">
        <v>142</v>
      </c>
      <c r="D67" t="s">
        <v>130</v>
      </c>
      <c r="E67" t="s">
        <v>143</v>
      </c>
    </row>
    <row r="68" spans="1:5">
      <c r="A68">
        <v>63</v>
      </c>
      <c r="B68" t="s">
        <v>141</v>
      </c>
      <c r="C68" t="s">
        <v>144</v>
      </c>
      <c r="D68" t="s">
        <v>145</v>
      </c>
      <c r="E68" t="s">
        <v>121</v>
      </c>
    </row>
    <row r="69" spans="1:5">
      <c r="A69">
        <v>64</v>
      </c>
      <c r="B69" t="s">
        <v>141</v>
      </c>
      <c r="C69" t="s">
        <v>144</v>
      </c>
      <c r="D69" t="s">
        <v>146</v>
      </c>
      <c r="E69" t="s">
        <v>56</v>
      </c>
    </row>
    <row r="70" spans="1:5">
      <c r="A70">
        <v>65</v>
      </c>
      <c r="B70" t="s">
        <v>141</v>
      </c>
      <c r="C70" t="s">
        <v>144</v>
      </c>
      <c r="D70" t="s">
        <v>147</v>
      </c>
      <c r="E70" t="s">
        <v>148</v>
      </c>
    </row>
    <row r="71" spans="1:5">
      <c r="A71">
        <v>66</v>
      </c>
      <c r="B71" t="s">
        <v>141</v>
      </c>
      <c r="C71" t="s">
        <v>144</v>
      </c>
      <c r="D71" t="s">
        <v>111</v>
      </c>
      <c r="E71" t="s">
        <v>149</v>
      </c>
    </row>
    <row r="72" spans="1:5">
      <c r="A72">
        <v>67</v>
      </c>
      <c r="B72" t="s">
        <v>141</v>
      </c>
      <c r="C72" t="s">
        <v>144</v>
      </c>
      <c r="D72" t="s">
        <v>66</v>
      </c>
      <c r="E72" t="s">
        <v>150</v>
      </c>
    </row>
    <row r="73" spans="1:5">
      <c r="A73">
        <v>68</v>
      </c>
      <c r="B73" t="s">
        <v>141</v>
      </c>
      <c r="C73" t="s">
        <v>144</v>
      </c>
      <c r="D73" t="s">
        <v>151</v>
      </c>
      <c r="E73" t="s">
        <v>152</v>
      </c>
    </row>
    <row r="74" spans="1:5">
      <c r="A74">
        <v>69</v>
      </c>
      <c r="B74" t="s">
        <v>141</v>
      </c>
      <c r="C74" t="s">
        <v>144</v>
      </c>
      <c r="D74" t="s">
        <v>153</v>
      </c>
      <c r="E74" t="s">
        <v>154</v>
      </c>
    </row>
    <row r="75" spans="1:5">
      <c r="A75">
        <v>70</v>
      </c>
      <c r="B75" t="s">
        <v>141</v>
      </c>
      <c r="C75" t="s">
        <v>155</v>
      </c>
      <c r="D75" t="s">
        <v>156</v>
      </c>
      <c r="E75" t="s">
        <v>157</v>
      </c>
    </row>
    <row r="76" spans="1:5">
      <c r="A76">
        <v>71</v>
      </c>
      <c r="B76" t="s">
        <v>141</v>
      </c>
      <c r="C76" t="s">
        <v>73</v>
      </c>
      <c r="D76" t="s">
        <v>74</v>
      </c>
      <c r="E76" t="s">
        <v>158</v>
      </c>
    </row>
    <row r="77" spans="1:5">
      <c r="A77">
        <v>72</v>
      </c>
      <c r="B77" t="s">
        <v>159</v>
      </c>
      <c r="C77" t="s">
        <v>160</v>
      </c>
      <c r="D77" t="s">
        <v>161</v>
      </c>
      <c r="E77" t="s">
        <v>162</v>
      </c>
    </row>
    <row r="78" spans="1:5">
      <c r="A78">
        <v>73</v>
      </c>
      <c r="B78" t="s">
        <v>159</v>
      </c>
      <c r="C78" t="s">
        <v>127</v>
      </c>
      <c r="D78" t="s">
        <v>163</v>
      </c>
      <c r="E78" t="s">
        <v>96</v>
      </c>
    </row>
    <row r="79" spans="1:5">
      <c r="A79">
        <v>74</v>
      </c>
      <c r="B79" t="s">
        <v>164</v>
      </c>
      <c r="C79" t="s">
        <v>161</v>
      </c>
      <c r="D79" t="s">
        <v>165</v>
      </c>
      <c r="E79" t="s">
        <v>166</v>
      </c>
    </row>
    <row r="80" spans="1:5">
      <c r="A80">
        <v>75</v>
      </c>
      <c r="B80" t="s">
        <v>164</v>
      </c>
      <c r="C80" t="s">
        <v>153</v>
      </c>
      <c r="D80" t="s">
        <v>127</v>
      </c>
      <c r="E80" t="s">
        <v>167</v>
      </c>
    </row>
    <row r="81" spans="1:5">
      <c r="A81">
        <v>76</v>
      </c>
      <c r="B81" t="s">
        <v>164</v>
      </c>
      <c r="C81" t="s">
        <v>153</v>
      </c>
      <c r="D81" t="s">
        <v>127</v>
      </c>
      <c r="E81" t="s">
        <v>168</v>
      </c>
    </row>
    <row r="82" spans="1:5">
      <c r="C82" t="s">
        <v>73</v>
      </c>
      <c r="D82" t="s">
        <v>163</v>
      </c>
      <c r="E82" t="s">
        <v>169</v>
      </c>
    </row>
    <row r="83" spans="1:5">
      <c r="A83">
        <v>77</v>
      </c>
      <c r="B83" t="s">
        <v>170</v>
      </c>
      <c r="C83" t="s">
        <v>73</v>
      </c>
      <c r="D83" t="s">
        <v>139</v>
      </c>
      <c r="E83" t="s">
        <v>171</v>
      </c>
    </row>
    <row r="84" spans="1:5">
      <c r="A84">
        <v>78</v>
      </c>
      <c r="B84" t="s">
        <v>170</v>
      </c>
      <c r="C84" t="s">
        <v>73</v>
      </c>
      <c r="D84" t="s">
        <v>172</v>
      </c>
      <c r="E84" t="s">
        <v>173</v>
      </c>
    </row>
    <row r="85" spans="1:5">
      <c r="A85">
        <v>79</v>
      </c>
      <c r="B85" t="s">
        <v>170</v>
      </c>
      <c r="C85" t="s">
        <v>73</v>
      </c>
      <c r="D85" t="s">
        <v>174</v>
      </c>
      <c r="E85" t="s">
        <v>175</v>
      </c>
    </row>
    <row r="86" spans="1:5">
      <c r="A86">
        <v>80</v>
      </c>
      <c r="B86" t="s">
        <v>170</v>
      </c>
      <c r="C86" t="s">
        <v>73</v>
      </c>
      <c r="D86" t="s">
        <v>176</v>
      </c>
      <c r="E86" t="s">
        <v>177</v>
      </c>
    </row>
    <row r="87" spans="1:5">
      <c r="A87">
        <v>81</v>
      </c>
      <c r="B87" t="s">
        <v>170</v>
      </c>
      <c r="C87" t="s">
        <v>73</v>
      </c>
      <c r="D87" t="s">
        <v>178</v>
      </c>
      <c r="E87" t="s">
        <v>179</v>
      </c>
    </row>
    <row r="88" spans="1:5">
      <c r="A88">
        <v>82</v>
      </c>
      <c r="B88" t="s">
        <v>170</v>
      </c>
      <c r="C88" t="s">
        <v>73</v>
      </c>
      <c r="D88" t="s">
        <v>180</v>
      </c>
      <c r="E88" t="s">
        <v>181</v>
      </c>
    </row>
    <row r="89" spans="1:5">
      <c r="A89">
        <v>83</v>
      </c>
      <c r="B89" t="s">
        <v>170</v>
      </c>
      <c r="C89" t="s">
        <v>73</v>
      </c>
      <c r="D89" t="s">
        <v>163</v>
      </c>
      <c r="E89" t="s">
        <v>182</v>
      </c>
    </row>
    <row r="90" spans="1:5">
      <c r="A90">
        <v>84</v>
      </c>
      <c r="B90" t="s">
        <v>183</v>
      </c>
      <c r="C90" t="s">
        <v>160</v>
      </c>
      <c r="D90" t="s">
        <v>163</v>
      </c>
      <c r="E90" t="s">
        <v>184</v>
      </c>
    </row>
    <row r="91" spans="1:5">
      <c r="A91">
        <v>85</v>
      </c>
      <c r="B91" t="s">
        <v>183</v>
      </c>
      <c r="C91" t="s">
        <v>185</v>
      </c>
      <c r="D91" t="s">
        <v>120</v>
      </c>
      <c r="E91" t="s">
        <v>186</v>
      </c>
    </row>
    <row r="92" spans="1:5">
      <c r="A92">
        <v>86</v>
      </c>
      <c r="B92" t="s">
        <v>183</v>
      </c>
      <c r="C92" t="s">
        <v>185</v>
      </c>
      <c r="D92" t="s">
        <v>106</v>
      </c>
      <c r="E92" t="s">
        <v>107</v>
      </c>
    </row>
    <row r="93" spans="1:5">
      <c r="A93">
        <v>87</v>
      </c>
      <c r="B93" t="s">
        <v>183</v>
      </c>
      <c r="C93" t="s">
        <v>185</v>
      </c>
      <c r="D93" t="s">
        <v>108</v>
      </c>
      <c r="E93" t="s">
        <v>61</v>
      </c>
    </row>
    <row r="94" spans="1:5">
      <c r="A94">
        <v>88</v>
      </c>
      <c r="B94" t="s">
        <v>183</v>
      </c>
      <c r="C94" t="s">
        <v>185</v>
      </c>
      <c r="D94" t="s">
        <v>109</v>
      </c>
      <c r="E94" t="s">
        <v>110</v>
      </c>
    </row>
    <row r="95" spans="1:5">
      <c r="A95">
        <v>89</v>
      </c>
      <c r="B95" t="s">
        <v>183</v>
      </c>
      <c r="C95" t="s">
        <v>185</v>
      </c>
      <c r="D95" t="s">
        <v>111</v>
      </c>
      <c r="E95" t="s">
        <v>149</v>
      </c>
    </row>
    <row r="96" spans="1:5">
      <c r="A96">
        <v>90</v>
      </c>
      <c r="B96" t="s">
        <v>183</v>
      </c>
      <c r="C96" t="s">
        <v>185</v>
      </c>
      <c r="D96" t="s">
        <v>146</v>
      </c>
      <c r="E96" t="s">
        <v>187</v>
      </c>
    </row>
    <row r="97" spans="1:5">
      <c r="A97">
        <v>91</v>
      </c>
      <c r="B97" t="s">
        <v>183</v>
      </c>
      <c r="C97" t="s">
        <v>188</v>
      </c>
      <c r="D97" t="s">
        <v>189</v>
      </c>
      <c r="E97" t="s">
        <v>190</v>
      </c>
    </row>
    <row r="98" spans="1:5">
      <c r="A98">
        <v>92</v>
      </c>
      <c r="B98" t="s">
        <v>183</v>
      </c>
      <c r="C98" t="s">
        <v>191</v>
      </c>
      <c r="D98" t="s">
        <v>192</v>
      </c>
      <c r="E98" t="s">
        <v>193</v>
      </c>
    </row>
    <row r="99" spans="1:5">
      <c r="A99">
        <v>93</v>
      </c>
      <c r="B99" t="s">
        <v>194</v>
      </c>
      <c r="C99" t="s">
        <v>195</v>
      </c>
      <c r="D99" t="s">
        <v>191</v>
      </c>
      <c r="E99" t="s">
        <v>196</v>
      </c>
    </row>
    <row r="100" spans="1:5">
      <c r="A100">
        <v>94</v>
      </c>
      <c r="B100" t="s">
        <v>194</v>
      </c>
      <c r="C100" t="s">
        <v>188</v>
      </c>
      <c r="D100" t="s">
        <v>197</v>
      </c>
      <c r="E100" t="s">
        <v>198</v>
      </c>
    </row>
    <row r="101" spans="1:5">
      <c r="A101">
        <v>95</v>
      </c>
      <c r="B101" t="s">
        <v>194</v>
      </c>
      <c r="C101" t="s">
        <v>199</v>
      </c>
      <c r="D101" t="s">
        <v>156</v>
      </c>
      <c r="E101" t="s">
        <v>200</v>
      </c>
    </row>
    <row r="102" spans="1:5">
      <c r="A102">
        <v>96</v>
      </c>
      <c r="B102" t="s">
        <v>194</v>
      </c>
      <c r="C102" t="s">
        <v>201</v>
      </c>
      <c r="D102" t="s">
        <v>202</v>
      </c>
      <c r="E102" t="s">
        <v>203</v>
      </c>
    </row>
    <row r="103" spans="1:5">
      <c r="A103" t="s">
        <v>204</v>
      </c>
      <c r="B103" t="s">
        <v>204</v>
      </c>
      <c r="C103" t="s">
        <v>204</v>
      </c>
      <c r="D103" t="s">
        <v>204</v>
      </c>
      <c r="E103" t="s">
        <v>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D105"/>
  <sheetViews>
    <sheetView showGridLines="0" tabSelected="1" showRuler="0" topLeftCell="O1" zoomScaleNormal="100" zoomScalePageLayoutView="70" workbookViewId="0">
      <selection activeCell="R4" sqref="R4:BU4"/>
    </sheetView>
  </sheetViews>
  <sheetFormatPr defaultColWidth="8.625" defaultRowHeight="15.75"/>
  <cols>
    <col min="1" max="1" width="5.125" style="6" customWidth="1"/>
    <col min="2" max="2" width="10" style="11" bestFit="1" customWidth="1"/>
    <col min="3" max="3" width="38.5" style="7" bestFit="1" customWidth="1"/>
    <col min="4" max="4" width="22.5" style="5" bestFit="1" customWidth="1"/>
    <col min="5" max="5" width="22" style="5" bestFit="1" customWidth="1"/>
    <col min="6" max="6" width="37.375" style="1" bestFit="1" customWidth="1"/>
    <col min="7" max="7" width="9.875" style="1" customWidth="1"/>
    <col min="8" max="13" width="11.625" style="3" customWidth="1"/>
    <col min="14" max="14" width="9.5" style="1" customWidth="1"/>
    <col min="15" max="16" width="10.25" style="1" customWidth="1"/>
    <col min="17" max="17" width="2.625" style="1" customWidth="1"/>
    <col min="18" max="73" width="3.375" style="1" customWidth="1"/>
    <col min="74" max="74" width="2.625" style="1" customWidth="1"/>
    <col min="75" max="16384" width="8.625" style="1"/>
  </cols>
  <sheetData>
    <row r="1" spans="1:82" ht="18">
      <c r="A1" s="28" t="s">
        <v>205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2" spans="1:82">
      <c r="A2" s="35" t="s">
        <v>206</v>
      </c>
      <c r="B2" s="35"/>
      <c r="C2" s="35"/>
      <c r="D2" s="29" t="s">
        <v>207</v>
      </c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R2" s="32" t="s">
        <v>208</v>
      </c>
      <c r="S2" s="32"/>
      <c r="T2" s="32"/>
      <c r="U2" s="32"/>
      <c r="V2" s="32"/>
      <c r="W2" s="32"/>
      <c r="X2" s="32"/>
      <c r="Y2" s="32"/>
      <c r="Z2" s="51">
        <v>46128</v>
      </c>
      <c r="AA2" s="52"/>
      <c r="AB2" s="52"/>
      <c r="AC2" s="52"/>
      <c r="AD2" s="52"/>
      <c r="AE2" s="53"/>
      <c r="AF2" s="51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3"/>
    </row>
    <row r="3" spans="1:82">
      <c r="A3" s="35" t="s">
        <v>209</v>
      </c>
      <c r="B3" s="35"/>
      <c r="C3" s="35"/>
      <c r="D3" s="29" t="s">
        <v>210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R3" s="32" t="s">
        <v>211</v>
      </c>
      <c r="S3" s="32"/>
      <c r="T3" s="32"/>
      <c r="U3" s="32"/>
      <c r="V3" s="32"/>
      <c r="W3" s="32"/>
      <c r="X3" s="32"/>
      <c r="Y3" s="32"/>
      <c r="Z3" s="36">
        <v>5</v>
      </c>
      <c r="AA3" s="37"/>
      <c r="AB3" s="37"/>
      <c r="AC3" s="37"/>
      <c r="AD3" s="37"/>
      <c r="AE3" s="38"/>
      <c r="AF3" s="36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8"/>
    </row>
    <row r="4" spans="1:82">
      <c r="A4" s="35" t="s">
        <v>212</v>
      </c>
      <c r="B4" s="35"/>
      <c r="C4" s="35"/>
      <c r="D4" s="44" t="s">
        <v>213</v>
      </c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6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</row>
    <row r="5" spans="1:82" s="7" customFormat="1" ht="21" customHeight="1">
      <c r="A5" s="49" t="s">
        <v>0</v>
      </c>
      <c r="B5" s="47" t="s">
        <v>214</v>
      </c>
      <c r="C5" s="47" t="s">
        <v>1</v>
      </c>
      <c r="D5" s="39" t="s">
        <v>2</v>
      </c>
      <c r="E5" s="39" t="s">
        <v>3</v>
      </c>
      <c r="F5" s="47" t="s">
        <v>4</v>
      </c>
      <c r="G5" s="39" t="s">
        <v>215</v>
      </c>
      <c r="H5" s="39" t="s">
        <v>216</v>
      </c>
      <c r="I5" s="30" t="s">
        <v>217</v>
      </c>
      <c r="J5" s="30" t="s">
        <v>218</v>
      </c>
      <c r="K5" s="33" t="s">
        <v>219</v>
      </c>
      <c r="L5" s="33" t="s">
        <v>220</v>
      </c>
      <c r="M5" s="39" t="s">
        <v>221</v>
      </c>
      <c r="N5" s="47" t="s">
        <v>222</v>
      </c>
      <c r="O5" s="39" t="s">
        <v>223</v>
      </c>
      <c r="P5" s="42" t="s">
        <v>224</v>
      </c>
      <c r="R5" s="54">
        <f>R6</f>
        <v>46153</v>
      </c>
      <c r="S5" s="54"/>
      <c r="T5" s="54"/>
      <c r="U5" s="54"/>
      <c r="V5" s="54"/>
      <c r="W5" s="54"/>
      <c r="X5" s="54"/>
      <c r="Y5" s="54">
        <f>Y6</f>
        <v>46160</v>
      </c>
      <c r="Z5" s="54"/>
      <c r="AA5" s="54"/>
      <c r="AB5" s="54"/>
      <c r="AC5" s="54"/>
      <c r="AD5" s="54"/>
      <c r="AE5" s="54"/>
      <c r="AF5" s="54">
        <f>AF6</f>
        <v>46167</v>
      </c>
      <c r="AG5" s="54"/>
      <c r="AH5" s="54"/>
      <c r="AI5" s="54"/>
      <c r="AJ5" s="54"/>
      <c r="AK5" s="54"/>
      <c r="AL5" s="54"/>
      <c r="AM5" s="54">
        <f>AM6</f>
        <v>46174</v>
      </c>
      <c r="AN5" s="54"/>
      <c r="AO5" s="54"/>
      <c r="AP5" s="54"/>
      <c r="AQ5" s="54"/>
      <c r="AR5" s="54"/>
      <c r="AS5" s="54"/>
      <c r="AT5" s="54">
        <f>AT6</f>
        <v>46181</v>
      </c>
      <c r="AU5" s="54"/>
      <c r="AV5" s="54"/>
      <c r="AW5" s="54"/>
      <c r="AX5" s="54"/>
      <c r="AY5" s="54"/>
      <c r="AZ5" s="54"/>
      <c r="BA5" s="54">
        <f>BA6</f>
        <v>46188</v>
      </c>
      <c r="BB5" s="54"/>
      <c r="BC5" s="54"/>
      <c r="BD5" s="54"/>
      <c r="BE5" s="54"/>
      <c r="BF5" s="54"/>
      <c r="BG5" s="54"/>
      <c r="BH5" s="54">
        <f>BH6</f>
        <v>46195</v>
      </c>
      <c r="BI5" s="54"/>
      <c r="BJ5" s="54"/>
      <c r="BK5" s="54"/>
      <c r="BL5" s="54"/>
      <c r="BM5" s="54"/>
      <c r="BN5" s="54"/>
      <c r="BO5" s="54">
        <f>BO6</f>
        <v>46202</v>
      </c>
      <c r="BP5" s="54"/>
      <c r="BQ5" s="54"/>
      <c r="BR5" s="54"/>
      <c r="BS5" s="54"/>
      <c r="BT5" s="54"/>
      <c r="BU5" s="54"/>
    </row>
    <row r="6" spans="1:82" s="7" customFormat="1" ht="15" customHeight="1">
      <c r="A6" s="50"/>
      <c r="B6" s="48"/>
      <c r="C6" s="48"/>
      <c r="D6" s="40"/>
      <c r="E6" s="40"/>
      <c r="F6" s="48"/>
      <c r="G6" s="40"/>
      <c r="H6" s="40"/>
      <c r="I6" s="31"/>
      <c r="J6" s="31"/>
      <c r="K6" s="34"/>
      <c r="L6" s="34"/>
      <c r="M6" s="40"/>
      <c r="N6" s="48"/>
      <c r="O6" s="40"/>
      <c r="P6" s="43"/>
      <c r="Q6" s="8"/>
      <c r="R6" s="9">
        <f>Project_Start-WEEKDAY(Project_Start,1)+2+7*(Display_Week-1)</f>
        <v>46153</v>
      </c>
      <c r="S6" s="9">
        <f>R6+1</f>
        <v>46154</v>
      </c>
      <c r="T6" s="9">
        <f t="shared" ref="T6:BG6" si="0">S6+1</f>
        <v>46155</v>
      </c>
      <c r="U6" s="9">
        <f t="shared" si="0"/>
        <v>46156</v>
      </c>
      <c r="V6" s="9">
        <f t="shared" si="0"/>
        <v>46157</v>
      </c>
      <c r="W6" s="9">
        <f t="shared" si="0"/>
        <v>46158</v>
      </c>
      <c r="X6" s="9">
        <f t="shared" si="0"/>
        <v>46159</v>
      </c>
      <c r="Y6" s="9">
        <f>X6+1</f>
        <v>46160</v>
      </c>
      <c r="Z6" s="9">
        <f>Y6+1</f>
        <v>46161</v>
      </c>
      <c r="AA6" s="9">
        <f t="shared" si="0"/>
        <v>46162</v>
      </c>
      <c r="AB6" s="9">
        <f t="shared" si="0"/>
        <v>46163</v>
      </c>
      <c r="AC6" s="9">
        <f t="shared" si="0"/>
        <v>46164</v>
      </c>
      <c r="AD6" s="9">
        <f t="shared" si="0"/>
        <v>46165</v>
      </c>
      <c r="AE6" s="9">
        <f t="shared" si="0"/>
        <v>46166</v>
      </c>
      <c r="AF6" s="9">
        <f>AE6+1</f>
        <v>46167</v>
      </c>
      <c r="AG6" s="9">
        <f>AF6+1</f>
        <v>46168</v>
      </c>
      <c r="AH6" s="9">
        <f t="shared" si="0"/>
        <v>46169</v>
      </c>
      <c r="AI6" s="9">
        <f t="shared" si="0"/>
        <v>46170</v>
      </c>
      <c r="AJ6" s="9">
        <f t="shared" si="0"/>
        <v>46171</v>
      </c>
      <c r="AK6" s="9">
        <f t="shared" si="0"/>
        <v>46172</v>
      </c>
      <c r="AL6" s="9">
        <f t="shared" si="0"/>
        <v>46173</v>
      </c>
      <c r="AM6" s="9">
        <f>AL6+1</f>
        <v>46174</v>
      </c>
      <c r="AN6" s="9">
        <f>AM6+1</f>
        <v>46175</v>
      </c>
      <c r="AO6" s="9">
        <f t="shared" si="0"/>
        <v>46176</v>
      </c>
      <c r="AP6" s="9">
        <f t="shared" si="0"/>
        <v>46177</v>
      </c>
      <c r="AQ6" s="9">
        <f t="shared" si="0"/>
        <v>46178</v>
      </c>
      <c r="AR6" s="9">
        <f t="shared" si="0"/>
        <v>46179</v>
      </c>
      <c r="AS6" s="9">
        <f t="shared" si="0"/>
        <v>46180</v>
      </c>
      <c r="AT6" s="9">
        <f>AS6+1</f>
        <v>46181</v>
      </c>
      <c r="AU6" s="9">
        <f>AT6+1</f>
        <v>46182</v>
      </c>
      <c r="AV6" s="9">
        <f t="shared" si="0"/>
        <v>46183</v>
      </c>
      <c r="AW6" s="9">
        <f t="shared" si="0"/>
        <v>46184</v>
      </c>
      <c r="AX6" s="9">
        <f t="shared" si="0"/>
        <v>46185</v>
      </c>
      <c r="AY6" s="9">
        <f t="shared" si="0"/>
        <v>46186</v>
      </c>
      <c r="AZ6" s="9">
        <f t="shared" si="0"/>
        <v>46187</v>
      </c>
      <c r="BA6" s="9">
        <f>AZ6+1</f>
        <v>46188</v>
      </c>
      <c r="BB6" s="9">
        <f>BA6+1</f>
        <v>46189</v>
      </c>
      <c r="BC6" s="9">
        <f t="shared" si="0"/>
        <v>46190</v>
      </c>
      <c r="BD6" s="9">
        <f t="shared" si="0"/>
        <v>46191</v>
      </c>
      <c r="BE6" s="9">
        <f t="shared" si="0"/>
        <v>46192</v>
      </c>
      <c r="BF6" s="9">
        <f t="shared" si="0"/>
        <v>46193</v>
      </c>
      <c r="BG6" s="9">
        <f t="shared" si="0"/>
        <v>46194</v>
      </c>
      <c r="BH6" s="9">
        <f>BG6+1</f>
        <v>46195</v>
      </c>
      <c r="BI6" s="9">
        <f>BH6+1</f>
        <v>46196</v>
      </c>
      <c r="BJ6" s="9">
        <f t="shared" ref="BJ6:BN6" si="1">BI6+1</f>
        <v>46197</v>
      </c>
      <c r="BK6" s="9">
        <f t="shared" si="1"/>
        <v>46198</v>
      </c>
      <c r="BL6" s="9">
        <f t="shared" si="1"/>
        <v>46199</v>
      </c>
      <c r="BM6" s="9">
        <f t="shared" si="1"/>
        <v>46200</v>
      </c>
      <c r="BN6" s="9">
        <f t="shared" si="1"/>
        <v>46201</v>
      </c>
      <c r="BO6" s="9">
        <f>BN6+1</f>
        <v>46202</v>
      </c>
      <c r="BP6" s="9">
        <f>BO6+1</f>
        <v>46203</v>
      </c>
      <c r="BQ6" s="9">
        <f t="shared" ref="BQ6:BU6" si="2">BP6+1</f>
        <v>46204</v>
      </c>
      <c r="BR6" s="9">
        <f t="shared" si="2"/>
        <v>46205</v>
      </c>
      <c r="BS6" s="9">
        <f t="shared" si="2"/>
        <v>46206</v>
      </c>
      <c r="BT6" s="9">
        <f t="shared" si="2"/>
        <v>46207</v>
      </c>
      <c r="BU6" s="9">
        <f t="shared" si="2"/>
        <v>46208</v>
      </c>
    </row>
    <row r="7" spans="1:82" s="7" customFormat="1">
      <c r="A7" s="50"/>
      <c r="B7" s="48"/>
      <c r="C7" s="48"/>
      <c r="D7" s="40"/>
      <c r="E7" s="40"/>
      <c r="F7" s="48"/>
      <c r="G7" s="40"/>
      <c r="H7" s="40"/>
      <c r="I7" s="31"/>
      <c r="J7" s="31"/>
      <c r="K7" s="34"/>
      <c r="L7" s="34"/>
      <c r="M7" s="40"/>
      <c r="N7" s="48"/>
      <c r="O7" s="40"/>
      <c r="P7" s="43"/>
      <c r="Q7" s="8"/>
      <c r="R7" s="10" t="str">
        <f t="shared" ref="R7:AW7" si="3">LEFT(TEXT(R6,"ddd"),1)</f>
        <v>M</v>
      </c>
      <c r="S7" s="10" t="str">
        <f t="shared" si="3"/>
        <v>T</v>
      </c>
      <c r="T7" s="10" t="str">
        <f t="shared" si="3"/>
        <v>W</v>
      </c>
      <c r="U7" s="10" t="str">
        <f t="shared" si="3"/>
        <v>T</v>
      </c>
      <c r="V7" s="10" t="str">
        <f t="shared" si="3"/>
        <v>F</v>
      </c>
      <c r="W7" s="10" t="str">
        <f t="shared" si="3"/>
        <v>S</v>
      </c>
      <c r="X7" s="10" t="str">
        <f t="shared" si="3"/>
        <v>S</v>
      </c>
      <c r="Y7" s="10" t="str">
        <f t="shared" si="3"/>
        <v>M</v>
      </c>
      <c r="Z7" s="10" t="str">
        <f t="shared" si="3"/>
        <v>T</v>
      </c>
      <c r="AA7" s="10" t="str">
        <f t="shared" si="3"/>
        <v>W</v>
      </c>
      <c r="AB7" s="10" t="str">
        <f t="shared" si="3"/>
        <v>T</v>
      </c>
      <c r="AC7" s="10" t="str">
        <f t="shared" si="3"/>
        <v>F</v>
      </c>
      <c r="AD7" s="10" t="str">
        <f t="shared" si="3"/>
        <v>S</v>
      </c>
      <c r="AE7" s="10" t="str">
        <f t="shared" si="3"/>
        <v>S</v>
      </c>
      <c r="AF7" s="10" t="str">
        <f t="shared" si="3"/>
        <v>M</v>
      </c>
      <c r="AG7" s="10" t="str">
        <f t="shared" si="3"/>
        <v>T</v>
      </c>
      <c r="AH7" s="10" t="str">
        <f t="shared" si="3"/>
        <v>W</v>
      </c>
      <c r="AI7" s="10" t="str">
        <f t="shared" si="3"/>
        <v>T</v>
      </c>
      <c r="AJ7" s="10" t="str">
        <f t="shared" si="3"/>
        <v>F</v>
      </c>
      <c r="AK7" s="10" t="str">
        <f t="shared" si="3"/>
        <v>S</v>
      </c>
      <c r="AL7" s="10" t="str">
        <f t="shared" si="3"/>
        <v>S</v>
      </c>
      <c r="AM7" s="10" t="str">
        <f t="shared" si="3"/>
        <v>M</v>
      </c>
      <c r="AN7" s="10" t="str">
        <f t="shared" si="3"/>
        <v>T</v>
      </c>
      <c r="AO7" s="10" t="str">
        <f t="shared" si="3"/>
        <v>W</v>
      </c>
      <c r="AP7" s="10" t="str">
        <f t="shared" si="3"/>
        <v>T</v>
      </c>
      <c r="AQ7" s="10" t="str">
        <f t="shared" si="3"/>
        <v>F</v>
      </c>
      <c r="AR7" s="10" t="str">
        <f t="shared" si="3"/>
        <v>S</v>
      </c>
      <c r="AS7" s="10" t="str">
        <f t="shared" si="3"/>
        <v>S</v>
      </c>
      <c r="AT7" s="10" t="str">
        <f t="shared" si="3"/>
        <v>M</v>
      </c>
      <c r="AU7" s="10" t="str">
        <f t="shared" si="3"/>
        <v>T</v>
      </c>
      <c r="AV7" s="10" t="str">
        <f t="shared" si="3"/>
        <v>W</v>
      </c>
      <c r="AW7" s="10" t="str">
        <f t="shared" si="3"/>
        <v>T</v>
      </c>
      <c r="AX7" s="10" t="str">
        <f t="shared" ref="AX7:BU7" si="4">LEFT(TEXT(AX6,"ddd"),1)</f>
        <v>F</v>
      </c>
      <c r="AY7" s="10" t="str">
        <f t="shared" si="4"/>
        <v>S</v>
      </c>
      <c r="AZ7" s="10" t="str">
        <f t="shared" si="4"/>
        <v>S</v>
      </c>
      <c r="BA7" s="10" t="str">
        <f t="shared" si="4"/>
        <v>M</v>
      </c>
      <c r="BB7" s="10" t="str">
        <f t="shared" si="4"/>
        <v>T</v>
      </c>
      <c r="BC7" s="10" t="str">
        <f t="shared" si="4"/>
        <v>W</v>
      </c>
      <c r="BD7" s="10" t="str">
        <f t="shared" si="4"/>
        <v>T</v>
      </c>
      <c r="BE7" s="10" t="str">
        <f t="shared" si="4"/>
        <v>F</v>
      </c>
      <c r="BF7" s="10" t="str">
        <f t="shared" si="4"/>
        <v>S</v>
      </c>
      <c r="BG7" s="10" t="str">
        <f t="shared" si="4"/>
        <v>S</v>
      </c>
      <c r="BH7" s="10" t="str">
        <f t="shared" si="4"/>
        <v>M</v>
      </c>
      <c r="BI7" s="10" t="str">
        <f t="shared" si="4"/>
        <v>T</v>
      </c>
      <c r="BJ7" s="10" t="str">
        <f t="shared" si="4"/>
        <v>W</v>
      </c>
      <c r="BK7" s="10" t="str">
        <f t="shared" si="4"/>
        <v>T</v>
      </c>
      <c r="BL7" s="10" t="str">
        <f t="shared" si="4"/>
        <v>F</v>
      </c>
      <c r="BM7" s="10" t="str">
        <f t="shared" si="4"/>
        <v>S</v>
      </c>
      <c r="BN7" s="10" t="str">
        <f t="shared" si="4"/>
        <v>S</v>
      </c>
      <c r="BO7" s="10" t="str">
        <f t="shared" si="4"/>
        <v>M</v>
      </c>
      <c r="BP7" s="10" t="str">
        <f t="shared" si="4"/>
        <v>T</v>
      </c>
      <c r="BQ7" s="10" t="str">
        <f t="shared" si="4"/>
        <v>W</v>
      </c>
      <c r="BR7" s="10" t="str">
        <f t="shared" si="4"/>
        <v>T</v>
      </c>
      <c r="BS7" s="10" t="str">
        <f t="shared" si="4"/>
        <v>F</v>
      </c>
      <c r="BT7" s="10" t="str">
        <f t="shared" si="4"/>
        <v>S</v>
      </c>
      <c r="BU7" s="10" t="str">
        <f t="shared" si="4"/>
        <v>S</v>
      </c>
    </row>
    <row r="8" spans="1:82" ht="16.5" customHeight="1">
      <c r="A8" s="24">
        <v>1</v>
      </c>
      <c r="B8" s="23" t="s">
        <v>225</v>
      </c>
      <c r="C8" s="25" t="s">
        <v>5</v>
      </c>
      <c r="D8" s="18" t="s">
        <v>6</v>
      </c>
      <c r="E8" s="18" t="s">
        <v>7</v>
      </c>
      <c r="F8" s="12" t="s">
        <v>8</v>
      </c>
      <c r="G8" s="14"/>
      <c r="H8" s="15">
        <v>0.2</v>
      </c>
      <c r="I8" s="16">
        <v>46127</v>
      </c>
      <c r="J8" s="16">
        <v>46128</v>
      </c>
      <c r="K8" s="16">
        <v>46128</v>
      </c>
      <c r="L8" s="16">
        <v>46128</v>
      </c>
      <c r="M8" s="22">
        <f t="shared" ref="M8:M38" ca="1" si="5">IF(OR(ISBLANK(task_start),ISBLANK(task_end)),"",
NETWORKDAYS(task_start,task_end)/5)</f>
        <v>0.2</v>
      </c>
      <c r="N8" s="17">
        <v>1</v>
      </c>
      <c r="O8" s="14" t="str">
        <f>IF($N8&gt;=1,"Completed",
 IF($N8=0,"Not Started",
 "In Progress"))</f>
        <v>Completed</v>
      </c>
      <c r="P8" s="14" t="str">
        <f ca="1">IF($N8&gt;=1,
    IF($M8&gt;$K8,"Delayed","On Track"),
 IF(TODAY()&lt;$J8,
    "On Track",
 IF(AND($N8=0,TODAY()&gt;$K8),
    "Delayed",
 IF(AND($L8&lt;&gt;"",$L8&gt;$J8),
    "At Risk",
 IF(TODAY()&gt;$K8,
    "Delayed",
 "On Track")))))</f>
        <v>On Track</v>
      </c>
      <c r="Q8" s="2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X8" s="55"/>
      <c r="BY8" s="55"/>
      <c r="BZ8" s="55"/>
      <c r="CA8" s="55"/>
      <c r="CB8" s="55"/>
      <c r="CC8" s="55"/>
      <c r="CD8" s="55"/>
    </row>
    <row r="9" spans="1:82" ht="16.5" customHeight="1">
      <c r="A9" s="24">
        <f>A8+1</f>
        <v>2</v>
      </c>
      <c r="B9" s="23" t="s">
        <v>225</v>
      </c>
      <c r="C9" s="25" t="s">
        <v>5</v>
      </c>
      <c r="D9" s="18" t="s">
        <v>6</v>
      </c>
      <c r="E9" s="18" t="s">
        <v>7</v>
      </c>
      <c r="F9" s="12" t="s">
        <v>9</v>
      </c>
      <c r="G9" s="14"/>
      <c r="H9" s="15">
        <v>0.3</v>
      </c>
      <c r="I9" s="16">
        <v>46127</v>
      </c>
      <c r="J9" s="16">
        <v>46129</v>
      </c>
      <c r="K9" s="16">
        <v>46128</v>
      </c>
      <c r="L9" s="16">
        <v>46129</v>
      </c>
      <c r="M9" s="22">
        <f t="shared" ca="1" si="5"/>
        <v>0.4</v>
      </c>
      <c r="N9" s="17">
        <v>0.8</v>
      </c>
      <c r="O9" s="14" t="str">
        <f t="shared" ref="O9:O71" si="6">IF($N9&gt;=1,"Completed",
 IF($N9=0,"Not Started",
 "In Progress"))</f>
        <v>In Progress</v>
      </c>
      <c r="P9" s="14" t="str">
        <f t="shared" ref="P9:P71" ca="1" si="7">IF($N9&gt;=1,
    IF($M9&gt;$K9,"Delayed","On Track"),
 IF(TODAY()&lt;$J9,
    "On Track",
 IF(AND($N9=0,TODAY()&gt;$K9),
    "Delayed",
 IF(AND($L9&lt;&gt;"",$L9&gt;$J9),
    "At Risk",
 IF(TODAY()&gt;$K9,
    "Delayed",
 "On Track")))))</f>
        <v>Delayed</v>
      </c>
      <c r="Q9" s="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</row>
    <row r="10" spans="1:82" ht="16.5" customHeight="1">
      <c r="A10" s="24">
        <f t="shared" ref="A10:A72" si="8">A9+1</f>
        <v>3</v>
      </c>
      <c r="B10" s="23" t="s">
        <v>225</v>
      </c>
      <c r="C10" s="25" t="s">
        <v>5</v>
      </c>
      <c r="D10" s="18" t="s">
        <v>6</v>
      </c>
      <c r="E10" s="18" t="s">
        <v>7</v>
      </c>
      <c r="F10" s="12" t="s">
        <v>10</v>
      </c>
      <c r="G10" s="14"/>
      <c r="H10" s="15">
        <v>0.2</v>
      </c>
      <c r="I10" s="16">
        <v>46128</v>
      </c>
      <c r="J10" s="16">
        <v>46129</v>
      </c>
      <c r="K10" s="16">
        <v>46134</v>
      </c>
      <c r="L10" s="16">
        <v>46136</v>
      </c>
      <c r="M10" s="22">
        <f t="shared" ca="1" si="5"/>
        <v>0.6</v>
      </c>
      <c r="N10" s="17">
        <v>1</v>
      </c>
      <c r="O10" s="14" t="str">
        <f t="shared" si="6"/>
        <v>Completed</v>
      </c>
      <c r="P10" s="14" t="str">
        <f t="shared" ca="1" si="7"/>
        <v>On Track</v>
      </c>
      <c r="Q10" s="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</row>
    <row r="11" spans="1:82" ht="16.5" customHeight="1">
      <c r="A11" s="24">
        <f t="shared" si="8"/>
        <v>4</v>
      </c>
      <c r="B11" s="23" t="s">
        <v>225</v>
      </c>
      <c r="C11" s="25" t="s">
        <v>5</v>
      </c>
      <c r="D11" s="18" t="s">
        <v>11</v>
      </c>
      <c r="E11" s="18" t="s">
        <v>12</v>
      </c>
      <c r="F11" s="12" t="s">
        <v>13</v>
      </c>
      <c r="G11" s="14"/>
      <c r="H11" s="15">
        <v>0.3</v>
      </c>
      <c r="I11" s="16">
        <v>46128</v>
      </c>
      <c r="J11" s="16">
        <v>46130</v>
      </c>
      <c r="K11" s="16">
        <v>46130</v>
      </c>
      <c r="L11" s="16"/>
      <c r="M11" s="22" t="str">
        <f t="shared" ca="1" si="5"/>
        <v/>
      </c>
      <c r="N11" s="17"/>
      <c r="O11" s="14" t="str">
        <f t="shared" si="6"/>
        <v>Not Started</v>
      </c>
      <c r="P11" s="14" t="str">
        <f t="shared" ca="1" si="7"/>
        <v>Delayed</v>
      </c>
      <c r="Q11" s="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</row>
    <row r="12" spans="1:82" ht="16.5" customHeight="1">
      <c r="A12" s="24">
        <f t="shared" si="8"/>
        <v>5</v>
      </c>
      <c r="B12" s="23" t="s">
        <v>225</v>
      </c>
      <c r="C12" s="25" t="s">
        <v>5</v>
      </c>
      <c r="D12" s="18" t="s">
        <v>11</v>
      </c>
      <c r="E12" s="18" t="s">
        <v>12</v>
      </c>
      <c r="F12" s="12" t="s">
        <v>14</v>
      </c>
      <c r="G12" s="14"/>
      <c r="H12" s="15">
        <v>0.2</v>
      </c>
      <c r="I12" s="16">
        <v>46129</v>
      </c>
      <c r="J12" s="16">
        <v>46130</v>
      </c>
      <c r="K12" s="16"/>
      <c r="L12" s="16"/>
      <c r="M12" s="22" t="str">
        <f t="shared" ca="1" si="5"/>
        <v/>
      </c>
      <c r="N12" s="17"/>
      <c r="O12" s="14" t="str">
        <f t="shared" si="6"/>
        <v>Not Started</v>
      </c>
      <c r="P12" s="14" t="str">
        <f t="shared" ca="1" si="7"/>
        <v>Delayed</v>
      </c>
      <c r="Q12" s="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</row>
    <row r="13" spans="1:82" ht="16.5" customHeight="1">
      <c r="A13" s="24">
        <f t="shared" si="8"/>
        <v>6</v>
      </c>
      <c r="B13" s="23" t="s">
        <v>225</v>
      </c>
      <c r="C13" s="25" t="s">
        <v>5</v>
      </c>
      <c r="D13" s="18" t="s">
        <v>11</v>
      </c>
      <c r="E13" s="18" t="s">
        <v>12</v>
      </c>
      <c r="F13" s="12" t="s">
        <v>15</v>
      </c>
      <c r="G13" s="14"/>
      <c r="H13" s="15">
        <v>0.2</v>
      </c>
      <c r="I13" s="16">
        <v>46129</v>
      </c>
      <c r="J13" s="16">
        <v>46130</v>
      </c>
      <c r="K13" s="16"/>
      <c r="L13" s="16"/>
      <c r="M13" s="22" t="str">
        <f t="shared" ca="1" si="5"/>
        <v/>
      </c>
      <c r="N13" s="17"/>
      <c r="O13" s="14" t="str">
        <f t="shared" si="6"/>
        <v>Not Started</v>
      </c>
      <c r="P13" s="14" t="str">
        <f t="shared" ca="1" si="7"/>
        <v>Delayed</v>
      </c>
      <c r="Q13" s="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</row>
    <row r="14" spans="1:82" ht="16.5" customHeight="1">
      <c r="A14" s="24">
        <f t="shared" si="8"/>
        <v>7</v>
      </c>
      <c r="B14" s="23" t="s">
        <v>225</v>
      </c>
      <c r="C14" s="25" t="s">
        <v>5</v>
      </c>
      <c r="D14" s="18" t="s">
        <v>16</v>
      </c>
      <c r="E14" s="12" t="s">
        <v>17</v>
      </c>
      <c r="F14" s="12" t="s">
        <v>18</v>
      </c>
      <c r="G14" s="14"/>
      <c r="H14" s="15">
        <v>0.3</v>
      </c>
      <c r="I14" s="16">
        <v>46130</v>
      </c>
      <c r="J14" s="16">
        <v>46133</v>
      </c>
      <c r="K14" s="16"/>
      <c r="L14" s="16"/>
      <c r="M14" s="22" t="str">
        <f t="shared" ca="1" si="5"/>
        <v/>
      </c>
      <c r="N14" s="17"/>
      <c r="O14" s="14" t="str">
        <f t="shared" si="6"/>
        <v>Not Started</v>
      </c>
      <c r="P14" s="14" t="str">
        <f t="shared" ca="1" si="7"/>
        <v>Delayed</v>
      </c>
      <c r="Q14" s="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</row>
    <row r="15" spans="1:82" ht="16.5" customHeight="1">
      <c r="A15" s="24">
        <f t="shared" si="8"/>
        <v>8</v>
      </c>
      <c r="B15" s="23" t="s">
        <v>225</v>
      </c>
      <c r="C15" s="25" t="s">
        <v>5</v>
      </c>
      <c r="D15" s="18" t="s">
        <v>16</v>
      </c>
      <c r="E15" s="18" t="s">
        <v>17</v>
      </c>
      <c r="F15" s="12" t="s">
        <v>19</v>
      </c>
      <c r="G15" s="14"/>
      <c r="H15" s="15">
        <v>0.3</v>
      </c>
      <c r="I15" s="16">
        <v>46130</v>
      </c>
      <c r="J15" s="16">
        <v>46133</v>
      </c>
      <c r="K15" s="16"/>
      <c r="L15" s="16"/>
      <c r="M15" s="22" t="str">
        <f t="shared" ca="1" si="5"/>
        <v/>
      </c>
      <c r="N15" s="17"/>
      <c r="O15" s="14" t="str">
        <f t="shared" si="6"/>
        <v>Not Started</v>
      </c>
      <c r="P15" s="14" t="str">
        <f t="shared" ca="1" si="7"/>
        <v>Delayed</v>
      </c>
      <c r="Q15" s="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</row>
    <row r="16" spans="1:82" ht="16.5" customHeight="1">
      <c r="A16" s="24">
        <f t="shared" si="8"/>
        <v>9</v>
      </c>
      <c r="B16" s="23" t="s">
        <v>225</v>
      </c>
      <c r="C16" s="25" t="s">
        <v>5</v>
      </c>
      <c r="D16" s="18" t="s">
        <v>16</v>
      </c>
      <c r="E16" s="18" t="s">
        <v>17</v>
      </c>
      <c r="F16" s="12" t="s">
        <v>20</v>
      </c>
      <c r="G16" s="14"/>
      <c r="H16" s="15">
        <v>0.2</v>
      </c>
      <c r="I16" s="16">
        <v>46131</v>
      </c>
      <c r="J16" s="16">
        <v>46133</v>
      </c>
      <c r="K16" s="16"/>
      <c r="L16" s="16"/>
      <c r="M16" s="22" t="str">
        <f t="shared" ca="1" si="5"/>
        <v/>
      </c>
      <c r="N16" s="17"/>
      <c r="O16" s="14" t="str">
        <f t="shared" si="6"/>
        <v>Not Started</v>
      </c>
      <c r="P16" s="14" t="str">
        <f t="shared" ca="1" si="7"/>
        <v>Delayed</v>
      </c>
      <c r="Q16" s="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</row>
    <row r="17" spans="1:73" ht="16.5" customHeight="1">
      <c r="A17" s="24">
        <f t="shared" si="8"/>
        <v>10</v>
      </c>
      <c r="B17" s="23" t="s">
        <v>225</v>
      </c>
      <c r="C17" s="25" t="s">
        <v>5</v>
      </c>
      <c r="D17" s="12" t="s">
        <v>21</v>
      </c>
      <c r="E17" s="18" t="s">
        <v>22</v>
      </c>
      <c r="F17" s="12" t="s">
        <v>23</v>
      </c>
      <c r="G17" s="14"/>
      <c r="H17" s="15">
        <v>0.2</v>
      </c>
      <c r="I17" s="16">
        <v>46132</v>
      </c>
      <c r="J17" s="16">
        <v>46134</v>
      </c>
      <c r="K17" s="16"/>
      <c r="L17" s="16"/>
      <c r="M17" s="22" t="str">
        <f t="shared" ca="1" si="5"/>
        <v/>
      </c>
      <c r="N17" s="17"/>
      <c r="O17" s="14" t="str">
        <f t="shared" si="6"/>
        <v>Not Started</v>
      </c>
      <c r="P17" s="14" t="str">
        <f t="shared" ca="1" si="7"/>
        <v>Delayed</v>
      </c>
      <c r="Q17" s="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</row>
    <row r="18" spans="1:73" ht="16.5" customHeight="1">
      <c r="A18" s="24">
        <f t="shared" si="8"/>
        <v>11</v>
      </c>
      <c r="B18" s="23" t="s">
        <v>225</v>
      </c>
      <c r="C18" s="25" t="s">
        <v>5</v>
      </c>
      <c r="D18" s="18" t="s">
        <v>21</v>
      </c>
      <c r="E18" s="18" t="s">
        <v>22</v>
      </c>
      <c r="F18" s="12" t="s">
        <v>24</v>
      </c>
      <c r="G18" s="14"/>
      <c r="H18" s="15">
        <v>0.2</v>
      </c>
      <c r="I18" s="16">
        <v>46132</v>
      </c>
      <c r="J18" s="16">
        <v>46134</v>
      </c>
      <c r="K18" s="16"/>
      <c r="L18" s="16"/>
      <c r="M18" s="22" t="str">
        <f t="shared" ca="1" si="5"/>
        <v/>
      </c>
      <c r="N18" s="17"/>
      <c r="O18" s="14" t="str">
        <f t="shared" si="6"/>
        <v>Not Started</v>
      </c>
      <c r="P18" s="14" t="str">
        <f t="shared" ca="1" si="7"/>
        <v>Delayed</v>
      </c>
      <c r="Q18" s="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</row>
    <row r="19" spans="1:73" ht="16.5" customHeight="1">
      <c r="A19" s="24">
        <f t="shared" si="8"/>
        <v>12</v>
      </c>
      <c r="B19" s="23" t="s">
        <v>225</v>
      </c>
      <c r="C19" s="25" t="s">
        <v>5</v>
      </c>
      <c r="D19" s="18" t="s">
        <v>21</v>
      </c>
      <c r="E19" s="18" t="s">
        <v>22</v>
      </c>
      <c r="F19" s="12" t="s">
        <v>25</v>
      </c>
      <c r="G19" s="14"/>
      <c r="H19" s="15">
        <v>0.2</v>
      </c>
      <c r="I19" s="16">
        <v>46133</v>
      </c>
      <c r="J19" s="16">
        <v>46134</v>
      </c>
      <c r="K19" s="16"/>
      <c r="L19" s="16"/>
      <c r="M19" s="22" t="str">
        <f t="shared" ca="1" si="5"/>
        <v/>
      </c>
      <c r="N19" s="17"/>
      <c r="O19" s="14" t="str">
        <f t="shared" si="6"/>
        <v>Not Started</v>
      </c>
      <c r="P19" s="14" t="str">
        <f t="shared" ca="1" si="7"/>
        <v>Delayed</v>
      </c>
      <c r="Q19" s="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</row>
    <row r="20" spans="1:73" ht="16.5" customHeight="1">
      <c r="A20" s="24">
        <f t="shared" si="8"/>
        <v>13</v>
      </c>
      <c r="B20" s="23" t="s">
        <v>225</v>
      </c>
      <c r="C20" s="25" t="s">
        <v>26</v>
      </c>
      <c r="D20" s="18" t="s">
        <v>27</v>
      </c>
      <c r="E20" s="18" t="s">
        <v>28</v>
      </c>
      <c r="F20" s="12" t="s">
        <v>29</v>
      </c>
      <c r="G20" s="14"/>
      <c r="H20" s="15">
        <v>0.6</v>
      </c>
      <c r="I20" s="16">
        <v>46132</v>
      </c>
      <c r="J20" s="16">
        <v>46137</v>
      </c>
      <c r="K20" s="16"/>
      <c r="L20" s="16"/>
      <c r="M20" s="22" t="str">
        <f t="shared" ca="1" si="5"/>
        <v/>
      </c>
      <c r="N20" s="17"/>
      <c r="O20" s="14" t="str">
        <f t="shared" si="6"/>
        <v>Not Started</v>
      </c>
      <c r="P20" s="14" t="str">
        <f t="shared" ca="1" si="7"/>
        <v>Delayed</v>
      </c>
      <c r="Q20" s="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</row>
    <row r="21" spans="1:73" ht="16.5" customHeight="1">
      <c r="A21" s="24">
        <f t="shared" si="8"/>
        <v>14</v>
      </c>
      <c r="B21" s="23" t="s">
        <v>225</v>
      </c>
      <c r="C21" s="25" t="s">
        <v>26</v>
      </c>
      <c r="D21" s="18" t="s">
        <v>27</v>
      </c>
      <c r="E21" s="18" t="s">
        <v>28</v>
      </c>
      <c r="F21" s="12" t="s">
        <v>30</v>
      </c>
      <c r="G21" s="14"/>
      <c r="H21" s="15">
        <v>0.5</v>
      </c>
      <c r="I21" s="16">
        <v>46133</v>
      </c>
      <c r="J21" s="16">
        <v>46137</v>
      </c>
      <c r="K21" s="16"/>
      <c r="L21" s="16"/>
      <c r="M21" s="22" t="str">
        <f t="shared" ca="1" si="5"/>
        <v/>
      </c>
      <c r="N21" s="17"/>
      <c r="O21" s="14" t="str">
        <f t="shared" si="6"/>
        <v>Not Started</v>
      </c>
      <c r="P21" s="14" t="str">
        <f t="shared" ca="1" si="7"/>
        <v>Delayed</v>
      </c>
      <c r="Q21" s="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</row>
    <row r="22" spans="1:73" ht="16.5" customHeight="1">
      <c r="A22" s="24">
        <f t="shared" si="8"/>
        <v>15</v>
      </c>
      <c r="B22" s="23" t="s">
        <v>225</v>
      </c>
      <c r="C22" s="25" t="s">
        <v>26</v>
      </c>
      <c r="D22" s="18" t="s">
        <v>27</v>
      </c>
      <c r="E22" s="18" t="s">
        <v>28</v>
      </c>
      <c r="F22" s="12" t="s">
        <v>31</v>
      </c>
      <c r="G22" s="14"/>
      <c r="H22" s="15">
        <v>0.8</v>
      </c>
      <c r="I22" s="16">
        <v>46138</v>
      </c>
      <c r="J22" s="16">
        <v>46144</v>
      </c>
      <c r="K22" s="16"/>
      <c r="L22" s="16"/>
      <c r="M22" s="22" t="str">
        <f t="shared" ca="1" si="5"/>
        <v/>
      </c>
      <c r="N22" s="17"/>
      <c r="O22" s="14" t="str">
        <f t="shared" si="6"/>
        <v>Not Started</v>
      </c>
      <c r="P22" s="14" t="str">
        <f t="shared" ca="1" si="7"/>
        <v>Delayed</v>
      </c>
      <c r="Q22" s="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</row>
    <row r="23" spans="1:73" ht="16.5" customHeight="1">
      <c r="A23" s="24">
        <f t="shared" si="8"/>
        <v>16</v>
      </c>
      <c r="B23" s="23" t="s">
        <v>225</v>
      </c>
      <c r="C23" s="25" t="s">
        <v>26</v>
      </c>
      <c r="D23" s="18" t="s">
        <v>32</v>
      </c>
      <c r="E23" s="18" t="s">
        <v>33</v>
      </c>
      <c r="F23" s="12" t="s">
        <v>34</v>
      </c>
      <c r="G23" s="14"/>
      <c r="H23" s="15">
        <v>0.6</v>
      </c>
      <c r="I23" s="16">
        <v>46138</v>
      </c>
      <c r="J23" s="16">
        <v>46142</v>
      </c>
      <c r="K23" s="16"/>
      <c r="L23" s="16"/>
      <c r="M23" s="22" t="str">
        <f t="shared" ca="1" si="5"/>
        <v/>
      </c>
      <c r="N23" s="17"/>
      <c r="O23" s="14" t="str">
        <f t="shared" si="6"/>
        <v>Not Started</v>
      </c>
      <c r="P23" s="14" t="str">
        <f t="shared" ca="1" si="7"/>
        <v>Delayed</v>
      </c>
      <c r="Q23" s="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</row>
    <row r="24" spans="1:73" ht="16.5" customHeight="1">
      <c r="A24" s="24">
        <f t="shared" si="8"/>
        <v>17</v>
      </c>
      <c r="B24" s="23" t="s">
        <v>225</v>
      </c>
      <c r="C24" s="25" t="s">
        <v>26</v>
      </c>
      <c r="D24" s="18" t="s">
        <v>32</v>
      </c>
      <c r="E24" s="18" t="s">
        <v>33</v>
      </c>
      <c r="F24" s="12" t="s">
        <v>35</v>
      </c>
      <c r="G24" s="14"/>
      <c r="H24" s="15">
        <v>0.6</v>
      </c>
      <c r="I24" s="16">
        <v>46139</v>
      </c>
      <c r="J24" s="16">
        <v>46143</v>
      </c>
      <c r="K24" s="16"/>
      <c r="L24" s="16"/>
      <c r="M24" s="22" t="str">
        <f t="shared" ca="1" si="5"/>
        <v/>
      </c>
      <c r="N24" s="17"/>
      <c r="O24" s="14" t="str">
        <f t="shared" si="6"/>
        <v>Not Started</v>
      </c>
      <c r="P24" s="14" t="str">
        <f t="shared" ca="1" si="7"/>
        <v>Delayed</v>
      </c>
      <c r="Q24" s="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</row>
    <row r="25" spans="1:73" ht="16.5" customHeight="1">
      <c r="A25" s="24">
        <f t="shared" si="8"/>
        <v>18</v>
      </c>
      <c r="B25" s="23" t="s">
        <v>225</v>
      </c>
      <c r="C25" s="25" t="s">
        <v>26</v>
      </c>
      <c r="D25" s="18" t="s">
        <v>36</v>
      </c>
      <c r="E25" s="18" t="s">
        <v>37</v>
      </c>
      <c r="F25" s="12" t="s">
        <v>38</v>
      </c>
      <c r="G25" s="14"/>
      <c r="H25" s="15">
        <v>0.6</v>
      </c>
      <c r="I25" s="16">
        <v>46139</v>
      </c>
      <c r="J25" s="16">
        <v>46143</v>
      </c>
      <c r="K25" s="16"/>
      <c r="L25" s="16"/>
      <c r="M25" s="22" t="str">
        <f t="shared" ca="1" si="5"/>
        <v/>
      </c>
      <c r="N25" s="17"/>
      <c r="O25" s="14" t="str">
        <f t="shared" si="6"/>
        <v>Not Started</v>
      </c>
      <c r="P25" s="14" t="str">
        <f t="shared" ca="1" si="7"/>
        <v>Delayed</v>
      </c>
      <c r="Q25" s="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</row>
    <row r="26" spans="1:73" ht="16.5" customHeight="1">
      <c r="A26" s="24">
        <f t="shared" si="8"/>
        <v>19</v>
      </c>
      <c r="B26" s="23" t="s">
        <v>225</v>
      </c>
      <c r="C26" s="25" t="s">
        <v>26</v>
      </c>
      <c r="D26" s="18" t="s">
        <v>36</v>
      </c>
      <c r="E26" s="18" t="s">
        <v>37</v>
      </c>
      <c r="F26" s="12" t="s">
        <v>39</v>
      </c>
      <c r="G26" s="14"/>
      <c r="H26" s="15">
        <v>0.5</v>
      </c>
      <c r="I26" s="16">
        <v>46140</v>
      </c>
      <c r="J26" s="16">
        <v>46144</v>
      </c>
      <c r="K26" s="16"/>
      <c r="L26" s="16"/>
      <c r="M26" s="22" t="str">
        <f t="shared" ca="1" si="5"/>
        <v/>
      </c>
      <c r="N26" s="17"/>
      <c r="O26" s="14" t="str">
        <f t="shared" si="6"/>
        <v>Not Started</v>
      </c>
      <c r="P26" s="14" t="str">
        <f t="shared" ca="1" si="7"/>
        <v>Delayed</v>
      </c>
      <c r="Q26" s="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</row>
    <row r="27" spans="1:73" ht="16.5" customHeight="1">
      <c r="A27" s="24">
        <f t="shared" si="8"/>
        <v>20</v>
      </c>
      <c r="B27" s="23" t="s">
        <v>225</v>
      </c>
      <c r="C27" s="25" t="s">
        <v>26</v>
      </c>
      <c r="D27" s="18" t="s">
        <v>40</v>
      </c>
      <c r="E27" s="18" t="s">
        <v>41</v>
      </c>
      <c r="F27" s="12" t="s">
        <v>42</v>
      </c>
      <c r="G27" s="14"/>
      <c r="H27" s="15">
        <v>0.5</v>
      </c>
      <c r="I27" s="16">
        <v>46145</v>
      </c>
      <c r="J27" s="16">
        <v>46149</v>
      </c>
      <c r="K27" s="16"/>
      <c r="L27" s="16"/>
      <c r="M27" s="22" t="str">
        <f t="shared" ca="1" si="5"/>
        <v/>
      </c>
      <c r="N27" s="17"/>
      <c r="O27" s="14" t="str">
        <f t="shared" si="6"/>
        <v>Not Started</v>
      </c>
      <c r="P27" s="14" t="str">
        <f t="shared" ca="1" si="7"/>
        <v>Delayed</v>
      </c>
      <c r="Q27" s="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</row>
    <row r="28" spans="1:73" ht="16.5" customHeight="1">
      <c r="A28" s="24">
        <f t="shared" si="8"/>
        <v>21</v>
      </c>
      <c r="B28" s="23" t="s">
        <v>225</v>
      </c>
      <c r="C28" s="25" t="s">
        <v>26</v>
      </c>
      <c r="D28" s="18" t="s">
        <v>40</v>
      </c>
      <c r="E28" s="18" t="s">
        <v>41</v>
      </c>
      <c r="F28" s="12" t="s">
        <v>43</v>
      </c>
      <c r="G28" s="14"/>
      <c r="H28" s="15">
        <v>0.5</v>
      </c>
      <c r="I28" s="16">
        <v>46145</v>
      </c>
      <c r="J28" s="16">
        <v>46149</v>
      </c>
      <c r="K28" s="16"/>
      <c r="L28" s="16"/>
      <c r="M28" s="22" t="str">
        <f t="shared" ca="1" si="5"/>
        <v/>
      </c>
      <c r="N28" s="17"/>
      <c r="O28" s="14" t="str">
        <f t="shared" si="6"/>
        <v>Not Started</v>
      </c>
      <c r="P28" s="14" t="str">
        <f t="shared" ca="1" si="7"/>
        <v>Delayed</v>
      </c>
      <c r="Q28" s="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</row>
    <row r="29" spans="1:73" ht="16.5" customHeight="1">
      <c r="A29" s="24">
        <f t="shared" si="8"/>
        <v>22</v>
      </c>
      <c r="B29" s="23" t="s">
        <v>225</v>
      </c>
      <c r="C29" s="25" t="s">
        <v>26</v>
      </c>
      <c r="D29" s="18" t="s">
        <v>40</v>
      </c>
      <c r="E29" s="18" t="s">
        <v>41</v>
      </c>
      <c r="F29" s="12" t="s">
        <v>44</v>
      </c>
      <c r="G29" s="14"/>
      <c r="H29" s="15">
        <v>0.4</v>
      </c>
      <c r="I29" s="16">
        <v>46150</v>
      </c>
      <c r="J29" s="16">
        <v>46152</v>
      </c>
      <c r="K29" s="16"/>
      <c r="L29" s="16"/>
      <c r="M29" s="22" t="str">
        <f t="shared" ca="1" si="5"/>
        <v/>
      </c>
      <c r="N29" s="17"/>
      <c r="O29" s="14" t="str">
        <f t="shared" si="6"/>
        <v>Not Started</v>
      </c>
      <c r="P29" s="14" t="str">
        <f t="shared" ca="1" si="7"/>
        <v>Delayed</v>
      </c>
      <c r="Q29" s="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</row>
    <row r="30" spans="1:73" ht="16.5" customHeight="1">
      <c r="A30" s="24">
        <f>A29+1</f>
        <v>23</v>
      </c>
      <c r="B30" s="23" t="s">
        <v>225</v>
      </c>
      <c r="C30" s="25" t="s">
        <v>26</v>
      </c>
      <c r="D30" s="18" t="s">
        <v>45</v>
      </c>
      <c r="E30" s="18" t="s">
        <v>46</v>
      </c>
      <c r="F30" s="12" t="s">
        <v>47</v>
      </c>
      <c r="G30" s="14"/>
      <c r="H30" s="15">
        <v>0.6</v>
      </c>
      <c r="I30" s="16">
        <v>46145</v>
      </c>
      <c r="J30" s="16">
        <v>46150</v>
      </c>
      <c r="K30" s="16"/>
      <c r="L30" s="16"/>
      <c r="M30" s="22" t="str">
        <f t="shared" ca="1" si="5"/>
        <v/>
      </c>
      <c r="N30" s="17"/>
      <c r="O30" s="14" t="str">
        <f t="shared" si="6"/>
        <v>Not Started</v>
      </c>
      <c r="P30" s="14" t="str">
        <f t="shared" ca="1" si="7"/>
        <v>Delayed</v>
      </c>
      <c r="Q30" s="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</row>
    <row r="31" spans="1:73" ht="16.5" customHeight="1">
      <c r="A31" s="24">
        <f>A30+1</f>
        <v>24</v>
      </c>
      <c r="B31" s="23" t="s">
        <v>225</v>
      </c>
      <c r="C31" s="25" t="s">
        <v>26</v>
      </c>
      <c r="D31" s="18" t="s">
        <v>45</v>
      </c>
      <c r="E31" s="18" t="s">
        <v>48</v>
      </c>
      <c r="F31" s="12" t="s">
        <v>49</v>
      </c>
      <c r="G31" s="14"/>
      <c r="H31" s="15">
        <v>0.5</v>
      </c>
      <c r="I31" s="16">
        <v>46146</v>
      </c>
      <c r="J31" s="16">
        <v>46150</v>
      </c>
      <c r="K31" s="16"/>
      <c r="L31" s="16"/>
      <c r="M31" s="22" t="str">
        <f t="shared" ca="1" si="5"/>
        <v/>
      </c>
      <c r="N31" s="17"/>
      <c r="O31" s="14" t="str">
        <f t="shared" si="6"/>
        <v>Not Started</v>
      </c>
      <c r="P31" s="14" t="str">
        <f t="shared" ca="1" si="7"/>
        <v>Delayed</v>
      </c>
      <c r="Q31" s="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</row>
    <row r="32" spans="1:73" ht="16.5" customHeight="1">
      <c r="A32" s="24">
        <f t="shared" si="8"/>
        <v>25</v>
      </c>
      <c r="B32" s="23" t="s">
        <v>225</v>
      </c>
      <c r="C32" s="25" t="s">
        <v>26</v>
      </c>
      <c r="D32" s="18" t="s">
        <v>45</v>
      </c>
      <c r="E32" s="18" t="s">
        <v>48</v>
      </c>
      <c r="F32" s="12" t="s">
        <v>50</v>
      </c>
      <c r="G32" s="14"/>
      <c r="H32" s="15">
        <v>0.8</v>
      </c>
      <c r="I32" s="16">
        <v>46151</v>
      </c>
      <c r="J32" s="16">
        <v>46157</v>
      </c>
      <c r="K32" s="16"/>
      <c r="L32" s="16"/>
      <c r="M32" s="22" t="str">
        <f t="shared" ca="1" si="5"/>
        <v/>
      </c>
      <c r="N32" s="17"/>
      <c r="O32" s="14" t="str">
        <f t="shared" si="6"/>
        <v>Not Started</v>
      </c>
      <c r="P32" s="14" t="str">
        <f t="shared" ca="1" si="7"/>
        <v>Delayed</v>
      </c>
      <c r="Q32" s="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</row>
    <row r="33" spans="1:73" ht="16.5" customHeight="1">
      <c r="A33" s="24">
        <f t="shared" si="8"/>
        <v>26</v>
      </c>
      <c r="B33" s="23" t="s">
        <v>225</v>
      </c>
      <c r="C33" s="25" t="s">
        <v>51</v>
      </c>
      <c r="D33" s="18" t="s">
        <v>52</v>
      </c>
      <c r="E33" s="18" t="s">
        <v>53</v>
      </c>
      <c r="F33" s="12" t="s">
        <v>54</v>
      </c>
      <c r="G33" s="14"/>
      <c r="H33" s="19">
        <v>0.8</v>
      </c>
      <c r="I33" s="16">
        <v>46151</v>
      </c>
      <c r="J33" s="16">
        <v>46157</v>
      </c>
      <c r="K33" s="16"/>
      <c r="L33" s="16"/>
      <c r="M33" s="22" t="str">
        <f t="shared" ca="1" si="5"/>
        <v/>
      </c>
      <c r="N33" s="17"/>
      <c r="O33" s="14" t="str">
        <f t="shared" si="6"/>
        <v>Not Started</v>
      </c>
      <c r="P33" s="14" t="str">
        <f t="shared" ca="1" si="7"/>
        <v>Delayed</v>
      </c>
      <c r="Q33" s="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</row>
    <row r="34" spans="1:73" ht="16.5" customHeight="1">
      <c r="A34" s="24">
        <f>A33+1</f>
        <v>27</v>
      </c>
      <c r="B34" s="23" t="s">
        <v>225</v>
      </c>
      <c r="C34" s="25" t="s">
        <v>51</v>
      </c>
      <c r="D34" s="18" t="s">
        <v>52</v>
      </c>
      <c r="E34" s="18" t="s">
        <v>55</v>
      </c>
      <c r="F34" s="12" t="s">
        <v>56</v>
      </c>
      <c r="G34" s="14"/>
      <c r="H34" s="19">
        <v>0.5</v>
      </c>
      <c r="I34" s="16">
        <v>46158</v>
      </c>
      <c r="J34" s="16">
        <v>46162</v>
      </c>
      <c r="K34" s="16"/>
      <c r="L34" s="16"/>
      <c r="M34" s="22" t="str">
        <f t="shared" ca="1" si="5"/>
        <v/>
      </c>
      <c r="N34" s="14"/>
      <c r="O34" s="14" t="str">
        <f t="shared" si="6"/>
        <v>Not Started</v>
      </c>
      <c r="P34" s="14" t="str">
        <f t="shared" ca="1" si="7"/>
        <v>Delayed</v>
      </c>
      <c r="Q34" s="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</row>
    <row r="35" spans="1:73" ht="16.5" customHeight="1">
      <c r="A35" s="24">
        <f t="shared" si="8"/>
        <v>28</v>
      </c>
      <c r="B35" s="23" t="s">
        <v>225</v>
      </c>
      <c r="C35" s="25" t="s">
        <v>51</v>
      </c>
      <c r="D35" s="18" t="s">
        <v>57</v>
      </c>
      <c r="E35" s="18" t="s">
        <v>58</v>
      </c>
      <c r="F35" s="12" t="s">
        <v>59</v>
      </c>
      <c r="G35" s="14"/>
      <c r="H35" s="19">
        <v>0.5</v>
      </c>
      <c r="I35" s="16">
        <v>46158</v>
      </c>
      <c r="J35" s="16">
        <v>46162</v>
      </c>
      <c r="K35" s="16"/>
      <c r="L35" s="16"/>
      <c r="M35" s="22" t="str">
        <f t="shared" ca="1" si="5"/>
        <v/>
      </c>
      <c r="N35" s="14"/>
      <c r="O35" s="14" t="str">
        <f t="shared" si="6"/>
        <v>Not Started</v>
      </c>
      <c r="P35" s="14" t="str">
        <f t="shared" ca="1" si="7"/>
        <v>Delayed</v>
      </c>
      <c r="Q35" s="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</row>
    <row r="36" spans="1:73" ht="16.5" customHeight="1">
      <c r="A36" s="24">
        <f t="shared" si="8"/>
        <v>29</v>
      </c>
      <c r="B36" s="23" t="s">
        <v>225</v>
      </c>
      <c r="C36" s="25" t="s">
        <v>51</v>
      </c>
      <c r="D36" s="18" t="s">
        <v>57</v>
      </c>
      <c r="E36" s="18" t="s">
        <v>60</v>
      </c>
      <c r="F36" s="12" t="s">
        <v>61</v>
      </c>
      <c r="G36" s="14"/>
      <c r="H36" s="20">
        <v>0.6</v>
      </c>
      <c r="I36" s="16">
        <v>46163</v>
      </c>
      <c r="J36" s="16">
        <v>46167</v>
      </c>
      <c r="K36" s="16"/>
      <c r="L36" s="16"/>
      <c r="M36" s="22" t="str">
        <f t="shared" ca="1" si="5"/>
        <v/>
      </c>
      <c r="N36" s="14"/>
      <c r="O36" s="14" t="str">
        <f t="shared" si="6"/>
        <v>Not Started</v>
      </c>
      <c r="P36" s="14" t="str">
        <f t="shared" ca="1" si="7"/>
        <v>Delayed</v>
      </c>
      <c r="Q36" s="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</row>
    <row r="37" spans="1:73" ht="16.5" customHeight="1">
      <c r="A37" s="24">
        <f t="shared" si="8"/>
        <v>30</v>
      </c>
      <c r="B37" s="23" t="s">
        <v>225</v>
      </c>
      <c r="C37" s="25" t="s">
        <v>51</v>
      </c>
      <c r="D37" s="18" t="s">
        <v>57</v>
      </c>
      <c r="E37" s="18" t="s">
        <v>62</v>
      </c>
      <c r="F37" s="12" t="s">
        <v>63</v>
      </c>
      <c r="G37" s="14"/>
      <c r="H37" s="19">
        <v>0.6</v>
      </c>
      <c r="I37" s="16">
        <v>46163</v>
      </c>
      <c r="J37" s="16">
        <v>46167</v>
      </c>
      <c r="K37" s="16"/>
      <c r="L37" s="16"/>
      <c r="M37" s="22" t="str">
        <f t="shared" ca="1" si="5"/>
        <v/>
      </c>
      <c r="N37" s="14"/>
      <c r="O37" s="14" t="str">
        <f t="shared" si="6"/>
        <v>Not Started</v>
      </c>
      <c r="P37" s="14" t="str">
        <f t="shared" ca="1" si="7"/>
        <v>Delayed</v>
      </c>
      <c r="Q37" s="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</row>
    <row r="38" spans="1:73" ht="16.5" customHeight="1">
      <c r="A38" s="24">
        <f t="shared" si="8"/>
        <v>31</v>
      </c>
      <c r="B38" s="23" t="s">
        <v>225</v>
      </c>
      <c r="C38" s="25" t="s">
        <v>51</v>
      </c>
      <c r="D38" s="18" t="s">
        <v>57</v>
      </c>
      <c r="E38" s="18" t="s">
        <v>64</v>
      </c>
      <c r="F38" s="12" t="s">
        <v>65</v>
      </c>
      <c r="G38" s="14"/>
      <c r="H38" s="19">
        <v>0.6</v>
      </c>
      <c r="I38" s="16">
        <v>46164</v>
      </c>
      <c r="J38" s="16">
        <v>46168</v>
      </c>
      <c r="K38" s="16"/>
      <c r="L38" s="16"/>
      <c r="M38" s="22" t="str">
        <f t="shared" ca="1" si="5"/>
        <v/>
      </c>
      <c r="N38" s="14"/>
      <c r="O38" s="14" t="str">
        <f t="shared" si="6"/>
        <v>Not Started</v>
      </c>
      <c r="P38" s="14" t="str">
        <f t="shared" ca="1" si="7"/>
        <v>Delayed</v>
      </c>
      <c r="Q38" s="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</row>
    <row r="39" spans="1:73" ht="16.5" customHeight="1">
      <c r="A39" s="24">
        <f t="shared" si="8"/>
        <v>32</v>
      </c>
      <c r="B39" s="23" t="s">
        <v>225</v>
      </c>
      <c r="C39" s="25" t="s">
        <v>51</v>
      </c>
      <c r="D39" s="18" t="s">
        <v>57</v>
      </c>
      <c r="E39" s="18" t="s">
        <v>66</v>
      </c>
      <c r="F39" s="12" t="s">
        <v>67</v>
      </c>
      <c r="G39" s="14"/>
      <c r="H39" s="19">
        <v>0.5</v>
      </c>
      <c r="I39" s="16">
        <v>46168</v>
      </c>
      <c r="J39" s="16">
        <v>46172</v>
      </c>
      <c r="K39" s="16"/>
      <c r="L39" s="16"/>
      <c r="M39" s="22" t="str">
        <f t="shared" ref="M39:M70" ca="1" si="9">IF(OR(ISBLANK(task_start),ISBLANK(task_end)),"",
NETWORKDAYS(task_start,task_end)/5)</f>
        <v/>
      </c>
      <c r="N39" s="14"/>
      <c r="O39" s="14" t="str">
        <f t="shared" si="6"/>
        <v>Not Started</v>
      </c>
      <c r="P39" s="14" t="str">
        <f t="shared" ca="1" si="7"/>
        <v>On Track</v>
      </c>
      <c r="Q39" s="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</row>
    <row r="40" spans="1:73" ht="16.5" customHeight="1">
      <c r="A40" s="24">
        <f t="shared" si="8"/>
        <v>33</v>
      </c>
      <c r="B40" s="23" t="s">
        <v>225</v>
      </c>
      <c r="C40" s="25" t="s">
        <v>51</v>
      </c>
      <c r="D40" s="18" t="s">
        <v>68</v>
      </c>
      <c r="E40" s="18" t="s">
        <v>69</v>
      </c>
      <c r="F40" s="12" t="s">
        <v>70</v>
      </c>
      <c r="G40" s="14"/>
      <c r="H40" s="19">
        <v>0.5</v>
      </c>
      <c r="I40" s="16">
        <v>46168</v>
      </c>
      <c r="J40" s="16">
        <v>46172</v>
      </c>
      <c r="K40" s="16"/>
      <c r="L40" s="16"/>
      <c r="M40" s="22" t="str">
        <f t="shared" ca="1" si="9"/>
        <v/>
      </c>
      <c r="N40" s="14"/>
      <c r="O40" s="14" t="str">
        <f t="shared" si="6"/>
        <v>Not Started</v>
      </c>
      <c r="P40" s="14" t="str">
        <f t="shared" ca="1" si="7"/>
        <v>On Track</v>
      </c>
      <c r="Q40" s="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</row>
    <row r="41" spans="1:73" ht="16.5" customHeight="1">
      <c r="A41" s="24">
        <f t="shared" si="8"/>
        <v>34</v>
      </c>
      <c r="B41" s="23" t="s">
        <v>225</v>
      </c>
      <c r="C41" s="25" t="s">
        <v>51</v>
      </c>
      <c r="D41" s="18" t="s">
        <v>68</v>
      </c>
      <c r="E41" s="18" t="s">
        <v>71</v>
      </c>
      <c r="F41" s="12" t="s">
        <v>72</v>
      </c>
      <c r="G41" s="14"/>
      <c r="H41" s="19">
        <v>0.6</v>
      </c>
      <c r="I41" s="16">
        <v>46169</v>
      </c>
      <c r="J41" s="16">
        <v>46174</v>
      </c>
      <c r="K41" s="16"/>
      <c r="L41" s="16"/>
      <c r="M41" s="22" t="str">
        <f t="shared" ca="1" si="9"/>
        <v/>
      </c>
      <c r="N41" s="14"/>
      <c r="O41" s="14" t="str">
        <f t="shared" si="6"/>
        <v>Not Started</v>
      </c>
      <c r="P41" s="14" t="str">
        <f t="shared" ca="1" si="7"/>
        <v>On Track</v>
      </c>
      <c r="Q41" s="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</row>
    <row r="42" spans="1:73" ht="16.5" customHeight="1">
      <c r="A42" s="24">
        <f t="shared" si="8"/>
        <v>35</v>
      </c>
      <c r="B42" s="23" t="s">
        <v>225</v>
      </c>
      <c r="C42" s="25" t="s">
        <v>51</v>
      </c>
      <c r="D42" s="18" t="s">
        <v>73</v>
      </c>
      <c r="E42" s="18" t="s">
        <v>74</v>
      </c>
      <c r="F42" s="12" t="s">
        <v>75</v>
      </c>
      <c r="G42" s="14"/>
      <c r="H42" s="19">
        <v>0.6</v>
      </c>
      <c r="I42" s="16">
        <v>46169</v>
      </c>
      <c r="J42" s="16">
        <v>46174</v>
      </c>
      <c r="K42" s="16"/>
      <c r="L42" s="16"/>
      <c r="M42" s="22" t="str">
        <f t="shared" ca="1" si="9"/>
        <v/>
      </c>
      <c r="N42" s="14"/>
      <c r="O42" s="14" t="str">
        <f t="shared" si="6"/>
        <v>Not Started</v>
      </c>
      <c r="P42" s="14" t="str">
        <f t="shared" ca="1" si="7"/>
        <v>On Track</v>
      </c>
      <c r="Q42" s="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</row>
    <row r="43" spans="1:73" ht="16.5" customHeight="1">
      <c r="A43" s="24">
        <f t="shared" si="8"/>
        <v>36</v>
      </c>
      <c r="B43" s="23" t="s">
        <v>225</v>
      </c>
      <c r="C43" s="25" t="s">
        <v>76</v>
      </c>
      <c r="D43" s="18" t="s">
        <v>77</v>
      </c>
      <c r="E43" s="18" t="s">
        <v>78</v>
      </c>
      <c r="F43" s="12" t="s">
        <v>79</v>
      </c>
      <c r="G43" s="14"/>
      <c r="H43" s="19">
        <v>1</v>
      </c>
      <c r="I43" s="16">
        <v>46153</v>
      </c>
      <c r="J43" s="16">
        <v>46162</v>
      </c>
      <c r="K43" s="16"/>
      <c r="L43" s="16"/>
      <c r="M43" s="22" t="str">
        <f t="shared" ca="1" si="9"/>
        <v/>
      </c>
      <c r="N43" s="14"/>
      <c r="O43" s="14" t="str">
        <f t="shared" si="6"/>
        <v>Not Started</v>
      </c>
      <c r="P43" s="14" t="str">
        <f t="shared" ca="1" si="7"/>
        <v>Delayed</v>
      </c>
      <c r="Q43" s="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</row>
    <row r="44" spans="1:73" ht="16.5" customHeight="1">
      <c r="A44" s="24">
        <f t="shared" si="8"/>
        <v>37</v>
      </c>
      <c r="B44" s="23" t="s">
        <v>225</v>
      </c>
      <c r="C44" s="25" t="s">
        <v>76</v>
      </c>
      <c r="D44" s="18" t="s">
        <v>77</v>
      </c>
      <c r="E44" s="18" t="s">
        <v>78</v>
      </c>
      <c r="F44" s="12" t="s">
        <v>80</v>
      </c>
      <c r="G44" s="14"/>
      <c r="H44" s="19">
        <v>1</v>
      </c>
      <c r="I44" s="16">
        <v>46153</v>
      </c>
      <c r="J44" s="16">
        <v>46162</v>
      </c>
      <c r="K44" s="16"/>
      <c r="L44" s="16"/>
      <c r="M44" s="22" t="str">
        <f t="shared" ca="1" si="9"/>
        <v/>
      </c>
      <c r="N44" s="14"/>
      <c r="O44" s="14" t="str">
        <f t="shared" si="6"/>
        <v>Not Started</v>
      </c>
      <c r="P44" s="14" t="str">
        <f t="shared" ca="1" si="7"/>
        <v>Delayed</v>
      </c>
      <c r="Q44" s="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</row>
    <row r="45" spans="1:73" ht="16.5" customHeight="1">
      <c r="A45" s="24">
        <f t="shared" si="8"/>
        <v>38</v>
      </c>
      <c r="B45" s="23" t="s">
        <v>225</v>
      </c>
      <c r="C45" s="25" t="s">
        <v>76</v>
      </c>
      <c r="D45" s="18" t="s">
        <v>81</v>
      </c>
      <c r="E45" s="18" t="s">
        <v>82</v>
      </c>
      <c r="F45" s="12" t="s">
        <v>83</v>
      </c>
      <c r="G45" s="14"/>
      <c r="H45" s="19">
        <v>0.8</v>
      </c>
      <c r="I45" s="16">
        <v>46163</v>
      </c>
      <c r="J45" s="16">
        <v>46169</v>
      </c>
      <c r="K45" s="16"/>
      <c r="L45" s="16"/>
      <c r="M45" s="22" t="str">
        <f t="shared" ca="1" si="9"/>
        <v/>
      </c>
      <c r="N45" s="14"/>
      <c r="O45" s="14" t="str">
        <f t="shared" si="6"/>
        <v>Not Started</v>
      </c>
      <c r="P45" s="14" t="str">
        <f t="shared" ca="1" si="7"/>
        <v>Delayed</v>
      </c>
      <c r="Q45" s="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</row>
    <row r="46" spans="1:73" ht="16.5" customHeight="1">
      <c r="A46" s="24">
        <f t="shared" si="8"/>
        <v>39</v>
      </c>
      <c r="B46" s="23" t="s">
        <v>225</v>
      </c>
      <c r="C46" s="25" t="s">
        <v>76</v>
      </c>
      <c r="D46" s="18" t="s">
        <v>84</v>
      </c>
      <c r="E46" s="18" t="s">
        <v>85</v>
      </c>
      <c r="F46" s="12" t="s">
        <v>86</v>
      </c>
      <c r="G46" s="14"/>
      <c r="H46" s="19">
        <v>0.7</v>
      </c>
      <c r="I46" s="16">
        <v>46163</v>
      </c>
      <c r="J46" s="16">
        <v>46168</v>
      </c>
      <c r="K46" s="16"/>
      <c r="L46" s="16"/>
      <c r="M46" s="22" t="str">
        <f t="shared" ca="1" si="9"/>
        <v/>
      </c>
      <c r="N46" s="14"/>
      <c r="O46" s="14" t="str">
        <f t="shared" si="6"/>
        <v>Not Started</v>
      </c>
      <c r="P46" s="14" t="str">
        <f t="shared" ca="1" si="7"/>
        <v>Delayed</v>
      </c>
      <c r="Q46" s="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</row>
    <row r="47" spans="1:73" ht="16.5" customHeight="1">
      <c r="A47" s="24">
        <f t="shared" si="8"/>
        <v>40</v>
      </c>
      <c r="B47" s="23" t="s">
        <v>225</v>
      </c>
      <c r="C47" s="25" t="s">
        <v>76</v>
      </c>
      <c r="D47" s="18" t="s">
        <v>87</v>
      </c>
      <c r="E47" s="18" t="s">
        <v>88</v>
      </c>
      <c r="F47" s="12" t="s">
        <v>89</v>
      </c>
      <c r="G47" s="14"/>
      <c r="H47" s="19">
        <v>0.8</v>
      </c>
      <c r="I47" s="16">
        <v>46163</v>
      </c>
      <c r="J47" s="16">
        <v>46170</v>
      </c>
      <c r="K47" s="16"/>
      <c r="L47" s="16"/>
      <c r="M47" s="22" t="str">
        <f t="shared" ca="1" si="9"/>
        <v/>
      </c>
      <c r="N47" s="14"/>
      <c r="O47" s="14" t="str">
        <f t="shared" si="6"/>
        <v>Not Started</v>
      </c>
      <c r="P47" s="14" t="str">
        <f t="shared" ca="1" si="7"/>
        <v>Delayed</v>
      </c>
      <c r="Q47" s="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</row>
    <row r="48" spans="1:73" ht="16.5" customHeight="1">
      <c r="A48" s="24">
        <f t="shared" si="8"/>
        <v>41</v>
      </c>
      <c r="B48" s="23" t="s">
        <v>225</v>
      </c>
      <c r="C48" s="25" t="s">
        <v>76</v>
      </c>
      <c r="D48" s="18" t="s">
        <v>87</v>
      </c>
      <c r="E48" s="18" t="s">
        <v>90</v>
      </c>
      <c r="F48" s="12" t="s">
        <v>91</v>
      </c>
      <c r="G48" s="14"/>
      <c r="H48" s="19">
        <v>0.7</v>
      </c>
      <c r="I48" s="16">
        <v>46164</v>
      </c>
      <c r="J48" s="16">
        <v>46169</v>
      </c>
      <c r="K48" s="16"/>
      <c r="L48" s="16"/>
      <c r="M48" s="22" t="str">
        <f t="shared" ca="1" si="9"/>
        <v/>
      </c>
      <c r="N48" s="14"/>
      <c r="O48" s="14" t="str">
        <f t="shared" si="6"/>
        <v>Not Started</v>
      </c>
      <c r="P48" s="14" t="str">
        <f t="shared" ca="1" si="7"/>
        <v>Delayed</v>
      </c>
      <c r="Q48" s="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</row>
    <row r="49" spans="1:73" ht="16.5" customHeight="1">
      <c r="A49" s="24">
        <f t="shared" si="8"/>
        <v>42</v>
      </c>
      <c r="B49" s="23" t="s">
        <v>225</v>
      </c>
      <c r="C49" s="25" t="s">
        <v>76</v>
      </c>
      <c r="D49" s="18" t="s">
        <v>87</v>
      </c>
      <c r="E49" s="18" t="s">
        <v>92</v>
      </c>
      <c r="F49" s="12" t="s">
        <v>65</v>
      </c>
      <c r="G49" s="14"/>
      <c r="H49" s="19">
        <v>0.7</v>
      </c>
      <c r="I49" s="16">
        <v>46164</v>
      </c>
      <c r="J49" s="16">
        <v>46169</v>
      </c>
      <c r="K49" s="16"/>
      <c r="L49" s="16"/>
      <c r="M49" s="22" t="str">
        <f t="shared" ca="1" si="9"/>
        <v/>
      </c>
      <c r="N49" s="14"/>
      <c r="O49" s="14" t="str">
        <f t="shared" si="6"/>
        <v>Not Started</v>
      </c>
      <c r="P49" s="14" t="str">
        <f t="shared" ca="1" si="7"/>
        <v>Delayed</v>
      </c>
      <c r="Q49" s="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</row>
    <row r="50" spans="1:73" ht="16.5" customHeight="1">
      <c r="A50" s="24">
        <f t="shared" si="8"/>
        <v>43</v>
      </c>
      <c r="B50" s="23" t="s">
        <v>225</v>
      </c>
      <c r="C50" s="25" t="s">
        <v>76</v>
      </c>
      <c r="D50" s="18" t="s">
        <v>87</v>
      </c>
      <c r="E50" s="18" t="s">
        <v>93</v>
      </c>
      <c r="F50" s="12" t="s">
        <v>94</v>
      </c>
      <c r="G50" s="14"/>
      <c r="H50" s="19">
        <v>0.7</v>
      </c>
      <c r="I50" s="16">
        <v>46165</v>
      </c>
      <c r="J50" s="16">
        <v>46170</v>
      </c>
      <c r="K50" s="16"/>
      <c r="L50" s="16"/>
      <c r="M50" s="22" t="str">
        <f t="shared" ca="1" si="9"/>
        <v/>
      </c>
      <c r="N50" s="14"/>
      <c r="O50" s="14" t="str">
        <f t="shared" si="6"/>
        <v>Not Started</v>
      </c>
      <c r="P50" s="14" t="str">
        <f t="shared" ca="1" si="7"/>
        <v>Delayed</v>
      </c>
      <c r="Q50" s="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</row>
    <row r="51" spans="1:73" ht="16.5" customHeight="1">
      <c r="A51" s="24">
        <f t="shared" si="8"/>
        <v>44</v>
      </c>
      <c r="B51" s="23" t="s">
        <v>225</v>
      </c>
      <c r="C51" s="25" t="s">
        <v>76</v>
      </c>
      <c r="D51" s="18" t="s">
        <v>95</v>
      </c>
      <c r="E51" s="18" t="s">
        <v>96</v>
      </c>
      <c r="F51" s="12" t="s">
        <v>97</v>
      </c>
      <c r="G51" s="14"/>
      <c r="H51" s="19">
        <v>0.7</v>
      </c>
      <c r="I51" s="16">
        <v>46166</v>
      </c>
      <c r="J51" s="16">
        <v>46171</v>
      </c>
      <c r="K51" s="16"/>
      <c r="L51" s="16"/>
      <c r="M51" s="22" t="str">
        <f t="shared" ca="1" si="9"/>
        <v/>
      </c>
      <c r="N51" s="14"/>
      <c r="O51" s="14" t="str">
        <f t="shared" si="6"/>
        <v>Not Started</v>
      </c>
      <c r="P51" s="14" t="str">
        <f t="shared" ca="1" si="7"/>
        <v>On Track</v>
      </c>
      <c r="Q51" s="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</row>
    <row r="52" spans="1:73" ht="16.5" customHeight="1">
      <c r="A52" s="24">
        <f t="shared" si="8"/>
        <v>45</v>
      </c>
      <c r="B52" s="23" t="s">
        <v>225</v>
      </c>
      <c r="C52" s="25" t="s">
        <v>76</v>
      </c>
      <c r="D52" s="18" t="s">
        <v>98</v>
      </c>
      <c r="E52" s="18" t="s">
        <v>99</v>
      </c>
      <c r="F52" s="12" t="s">
        <v>100</v>
      </c>
      <c r="G52" s="14"/>
      <c r="H52" s="19">
        <v>0.6</v>
      </c>
      <c r="I52" s="16">
        <v>46166</v>
      </c>
      <c r="J52" s="16">
        <v>46170</v>
      </c>
      <c r="K52" s="16"/>
      <c r="L52" s="16"/>
      <c r="M52" s="22" t="str">
        <f t="shared" ca="1" si="9"/>
        <v/>
      </c>
      <c r="N52" s="14"/>
      <c r="O52" s="14" t="str">
        <f t="shared" si="6"/>
        <v>Not Started</v>
      </c>
      <c r="P52" s="14" t="str">
        <f t="shared" ca="1" si="7"/>
        <v>Delayed</v>
      </c>
      <c r="Q52" s="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</row>
    <row r="53" spans="1:73" ht="16.5" customHeight="1">
      <c r="A53" s="24">
        <f t="shared" si="8"/>
        <v>46</v>
      </c>
      <c r="B53" s="23" t="s">
        <v>225</v>
      </c>
      <c r="C53" s="25" t="s">
        <v>101</v>
      </c>
      <c r="D53" s="18" t="s">
        <v>102</v>
      </c>
      <c r="E53" s="18" t="s">
        <v>103</v>
      </c>
      <c r="F53" s="12" t="s">
        <v>104</v>
      </c>
      <c r="G53" s="14"/>
      <c r="H53" s="19">
        <v>2</v>
      </c>
      <c r="I53" s="16">
        <v>46171</v>
      </c>
      <c r="J53" s="16">
        <v>46185</v>
      </c>
      <c r="K53" s="16"/>
      <c r="L53" s="16"/>
      <c r="M53" s="22" t="str">
        <f t="shared" ca="1" si="9"/>
        <v/>
      </c>
      <c r="N53" s="14"/>
      <c r="O53" s="14" t="str">
        <f t="shared" si="6"/>
        <v>Not Started</v>
      </c>
      <c r="P53" s="14" t="str">
        <f t="shared" ca="1" si="7"/>
        <v>On Track</v>
      </c>
      <c r="Q53" s="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</row>
    <row r="54" spans="1:73" ht="16.5" customHeight="1">
      <c r="A54" s="24">
        <f t="shared" si="8"/>
        <v>47</v>
      </c>
      <c r="B54" s="23" t="s">
        <v>225</v>
      </c>
      <c r="C54" s="25" t="s">
        <v>101</v>
      </c>
      <c r="D54" s="18" t="s">
        <v>105</v>
      </c>
      <c r="E54" s="18" t="s">
        <v>106</v>
      </c>
      <c r="F54" s="12" t="s">
        <v>107</v>
      </c>
      <c r="G54" s="14"/>
      <c r="H54" s="19">
        <v>1.5</v>
      </c>
      <c r="I54" s="16">
        <v>46171</v>
      </c>
      <c r="J54" s="16">
        <v>46183</v>
      </c>
      <c r="K54" s="16"/>
      <c r="L54" s="16"/>
      <c r="M54" s="22" t="str">
        <f t="shared" ca="1" si="9"/>
        <v/>
      </c>
      <c r="N54" s="14"/>
      <c r="O54" s="14" t="str">
        <f t="shared" si="6"/>
        <v>Not Started</v>
      </c>
      <c r="P54" s="14" t="str">
        <f t="shared" ca="1" si="7"/>
        <v>On Track</v>
      </c>
      <c r="Q54" s="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</row>
    <row r="55" spans="1:73" ht="16.5" customHeight="1">
      <c r="A55" s="24">
        <f t="shared" si="8"/>
        <v>48</v>
      </c>
      <c r="B55" s="23" t="s">
        <v>225</v>
      </c>
      <c r="C55" s="25" t="s">
        <v>101</v>
      </c>
      <c r="D55" s="18" t="s">
        <v>105</v>
      </c>
      <c r="E55" s="18" t="s">
        <v>108</v>
      </c>
      <c r="F55" s="12" t="s">
        <v>61</v>
      </c>
      <c r="G55" s="14"/>
      <c r="H55" s="19">
        <v>1.2</v>
      </c>
      <c r="I55" s="16">
        <v>46172</v>
      </c>
      <c r="J55" s="16">
        <v>46181</v>
      </c>
      <c r="K55" s="16"/>
      <c r="L55" s="16"/>
      <c r="M55" s="22" t="str">
        <f t="shared" ca="1" si="9"/>
        <v/>
      </c>
      <c r="N55" s="14"/>
      <c r="O55" s="14" t="str">
        <f t="shared" si="6"/>
        <v>Not Started</v>
      </c>
      <c r="P55" s="14" t="str">
        <f t="shared" ca="1" si="7"/>
        <v>On Track</v>
      </c>
      <c r="Q55" s="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</row>
    <row r="56" spans="1:73" ht="16.5" customHeight="1">
      <c r="A56" s="24">
        <f t="shared" si="8"/>
        <v>49</v>
      </c>
      <c r="B56" s="23" t="s">
        <v>225</v>
      </c>
      <c r="C56" s="25" t="s">
        <v>101</v>
      </c>
      <c r="D56" s="18" t="s">
        <v>105</v>
      </c>
      <c r="E56" s="18" t="s">
        <v>109</v>
      </c>
      <c r="F56" s="12" t="s">
        <v>110</v>
      </c>
      <c r="G56" s="14"/>
      <c r="H56" s="19">
        <v>1.2</v>
      </c>
      <c r="I56" s="16">
        <v>46172</v>
      </c>
      <c r="J56" s="16">
        <v>46181</v>
      </c>
      <c r="K56" s="16"/>
      <c r="L56" s="16"/>
      <c r="M56" s="22" t="str">
        <f t="shared" ca="1" si="9"/>
        <v/>
      </c>
      <c r="N56" s="14"/>
      <c r="O56" s="14" t="str">
        <f t="shared" si="6"/>
        <v>Not Started</v>
      </c>
      <c r="P56" s="14" t="str">
        <f t="shared" ca="1" si="7"/>
        <v>On Track</v>
      </c>
      <c r="Q56" s="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</row>
    <row r="57" spans="1:73" ht="16.5" customHeight="1">
      <c r="A57" s="24">
        <f t="shared" si="8"/>
        <v>50</v>
      </c>
      <c r="B57" s="23" t="s">
        <v>225</v>
      </c>
      <c r="C57" s="25" t="s">
        <v>101</v>
      </c>
      <c r="D57" s="18" t="s">
        <v>105</v>
      </c>
      <c r="E57" s="18" t="s">
        <v>111</v>
      </c>
      <c r="F57" s="12" t="s">
        <v>63</v>
      </c>
      <c r="G57" s="14"/>
      <c r="H57" s="19">
        <v>1.2</v>
      </c>
      <c r="I57" s="16">
        <v>46173</v>
      </c>
      <c r="J57" s="16">
        <v>46183</v>
      </c>
      <c r="K57" s="16"/>
      <c r="L57" s="16"/>
      <c r="M57" s="22" t="str">
        <f t="shared" ca="1" si="9"/>
        <v/>
      </c>
      <c r="N57" s="14"/>
      <c r="O57" s="14" t="str">
        <f t="shared" si="6"/>
        <v>Not Started</v>
      </c>
      <c r="P57" s="14" t="str">
        <f t="shared" ca="1" si="7"/>
        <v>On Track</v>
      </c>
      <c r="Q57" s="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</row>
    <row r="58" spans="1:73" ht="16.5" customHeight="1">
      <c r="A58" s="24">
        <f t="shared" si="8"/>
        <v>51</v>
      </c>
      <c r="B58" s="23" t="s">
        <v>225</v>
      </c>
      <c r="C58" s="25" t="s">
        <v>101</v>
      </c>
      <c r="D58" s="18" t="s">
        <v>112</v>
      </c>
      <c r="E58" s="18" t="s">
        <v>113</v>
      </c>
      <c r="F58" s="12" t="s">
        <v>114</v>
      </c>
      <c r="G58" s="14"/>
      <c r="H58" s="19">
        <v>1</v>
      </c>
      <c r="I58" s="16">
        <v>46178</v>
      </c>
      <c r="J58" s="16">
        <v>46185</v>
      </c>
      <c r="K58" s="16"/>
      <c r="L58" s="16"/>
      <c r="M58" s="22" t="str">
        <f t="shared" ca="1" si="9"/>
        <v/>
      </c>
      <c r="N58" s="14"/>
      <c r="O58" s="14" t="str">
        <f t="shared" si="6"/>
        <v>Not Started</v>
      </c>
      <c r="P58" s="14" t="str">
        <f t="shared" ca="1" si="7"/>
        <v>On Track</v>
      </c>
      <c r="Q58" s="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</row>
    <row r="59" spans="1:73" ht="16.5" customHeight="1">
      <c r="A59" s="24">
        <f t="shared" si="8"/>
        <v>52</v>
      </c>
      <c r="B59" s="23" t="s">
        <v>225</v>
      </c>
      <c r="C59" s="25" t="s">
        <v>115</v>
      </c>
      <c r="D59" s="18" t="s">
        <v>116</v>
      </c>
      <c r="E59" s="18" t="s">
        <v>117</v>
      </c>
      <c r="F59" s="12" t="s">
        <v>118</v>
      </c>
      <c r="G59" s="14"/>
      <c r="H59" s="19">
        <v>0.6</v>
      </c>
      <c r="I59" s="16">
        <v>46183</v>
      </c>
      <c r="J59" s="16">
        <v>46188</v>
      </c>
      <c r="K59" s="16"/>
      <c r="L59" s="16"/>
      <c r="M59" s="22" t="str">
        <f t="shared" ca="1" si="9"/>
        <v/>
      </c>
      <c r="N59" s="14"/>
      <c r="O59" s="14" t="str">
        <f t="shared" si="6"/>
        <v>Not Started</v>
      </c>
      <c r="P59" s="14" t="str">
        <f t="shared" ca="1" si="7"/>
        <v>On Track</v>
      </c>
      <c r="Q59" s="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</row>
    <row r="60" spans="1:73" ht="16.5" customHeight="1">
      <c r="A60" s="24">
        <f t="shared" si="8"/>
        <v>53</v>
      </c>
      <c r="B60" s="23" t="s">
        <v>225</v>
      </c>
      <c r="C60" s="25" t="s">
        <v>115</v>
      </c>
      <c r="D60" s="18" t="s">
        <v>119</v>
      </c>
      <c r="E60" s="18" t="s">
        <v>120</v>
      </c>
      <c r="F60" s="12" t="s">
        <v>121</v>
      </c>
      <c r="G60" s="14"/>
      <c r="H60" s="19">
        <v>1.5</v>
      </c>
      <c r="I60" s="16">
        <v>46189</v>
      </c>
      <c r="J60" s="16">
        <v>46201</v>
      </c>
      <c r="K60" s="16"/>
      <c r="L60" s="16"/>
      <c r="M60" s="22" t="str">
        <f t="shared" ca="1" si="9"/>
        <v/>
      </c>
      <c r="N60" s="14"/>
      <c r="O60" s="14" t="str">
        <f t="shared" si="6"/>
        <v>Not Started</v>
      </c>
      <c r="P60" s="14" t="str">
        <f t="shared" ca="1" si="7"/>
        <v>On Track</v>
      </c>
      <c r="Q60" s="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</row>
    <row r="61" spans="1:73" ht="16.5" customHeight="1">
      <c r="A61" s="24">
        <f t="shared" si="8"/>
        <v>54</v>
      </c>
      <c r="B61" s="23" t="s">
        <v>225</v>
      </c>
      <c r="C61" s="25" t="s">
        <v>115</v>
      </c>
      <c r="D61" s="18" t="s">
        <v>122</v>
      </c>
      <c r="E61" s="18" t="s">
        <v>106</v>
      </c>
      <c r="F61" s="12" t="s">
        <v>123</v>
      </c>
      <c r="G61" s="14"/>
      <c r="H61" s="19">
        <v>1.2</v>
      </c>
      <c r="I61" s="16">
        <v>46189</v>
      </c>
      <c r="J61" s="16">
        <v>46199</v>
      </c>
      <c r="K61" s="16"/>
      <c r="L61" s="16"/>
      <c r="M61" s="22" t="str">
        <f t="shared" ca="1" si="9"/>
        <v/>
      </c>
      <c r="N61" s="14"/>
      <c r="O61" s="14" t="str">
        <f t="shared" si="6"/>
        <v>Not Started</v>
      </c>
      <c r="P61" s="14" t="str">
        <f t="shared" ca="1" si="7"/>
        <v>On Track</v>
      </c>
      <c r="Q61" s="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</row>
    <row r="62" spans="1:73" ht="16.5" customHeight="1">
      <c r="A62" s="24">
        <f t="shared" si="8"/>
        <v>55</v>
      </c>
      <c r="B62" s="23" t="s">
        <v>225</v>
      </c>
      <c r="C62" s="25" t="s">
        <v>115</v>
      </c>
      <c r="D62" s="18" t="s">
        <v>122</v>
      </c>
      <c r="E62" s="18" t="s">
        <v>108</v>
      </c>
      <c r="F62" s="12" t="s">
        <v>61</v>
      </c>
      <c r="G62" s="14"/>
      <c r="H62" s="19">
        <v>1</v>
      </c>
      <c r="I62" s="16">
        <v>46190</v>
      </c>
      <c r="J62" s="16">
        <v>46198</v>
      </c>
      <c r="K62" s="16"/>
      <c r="L62" s="16"/>
      <c r="M62" s="22" t="str">
        <f t="shared" ca="1" si="9"/>
        <v/>
      </c>
      <c r="N62" s="14"/>
      <c r="O62" s="14" t="str">
        <f t="shared" si="6"/>
        <v>Not Started</v>
      </c>
      <c r="P62" s="14" t="str">
        <f t="shared" ca="1" si="7"/>
        <v>On Track</v>
      </c>
      <c r="Q62" s="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</row>
    <row r="63" spans="1:73" ht="16.5" customHeight="1">
      <c r="A63" s="24">
        <f t="shared" si="8"/>
        <v>56</v>
      </c>
      <c r="B63" s="23" t="s">
        <v>225</v>
      </c>
      <c r="C63" s="25" t="s">
        <v>115</v>
      </c>
      <c r="D63" s="18" t="s">
        <v>122</v>
      </c>
      <c r="E63" s="18" t="s">
        <v>109</v>
      </c>
      <c r="F63" s="12" t="s">
        <v>124</v>
      </c>
      <c r="G63" s="14"/>
      <c r="H63" s="19">
        <v>1</v>
      </c>
      <c r="I63" s="16">
        <v>46190</v>
      </c>
      <c r="J63" s="16">
        <v>46198</v>
      </c>
      <c r="K63" s="16"/>
      <c r="L63" s="16"/>
      <c r="M63" s="22" t="str">
        <f t="shared" ca="1" si="9"/>
        <v/>
      </c>
      <c r="N63" s="14"/>
      <c r="O63" s="14" t="str">
        <f t="shared" si="6"/>
        <v>Not Started</v>
      </c>
      <c r="P63" s="14" t="str">
        <f t="shared" ca="1" si="7"/>
        <v>On Track</v>
      </c>
      <c r="Q63" s="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</row>
    <row r="64" spans="1:73" ht="16.5" customHeight="1">
      <c r="A64" s="24">
        <f t="shared" si="8"/>
        <v>57</v>
      </c>
      <c r="B64" s="23" t="s">
        <v>225</v>
      </c>
      <c r="C64" s="25" t="s">
        <v>115</v>
      </c>
      <c r="D64" s="18" t="s">
        <v>122</v>
      </c>
      <c r="E64" s="18" t="s">
        <v>125</v>
      </c>
      <c r="F64" s="18" t="s">
        <v>125</v>
      </c>
      <c r="G64" s="14"/>
      <c r="H64" s="19">
        <v>1</v>
      </c>
      <c r="I64" s="16">
        <v>46190</v>
      </c>
      <c r="J64" s="16">
        <v>46198</v>
      </c>
      <c r="K64" s="16"/>
      <c r="L64" s="16"/>
      <c r="M64" s="22" t="str">
        <f t="shared" ca="1" si="9"/>
        <v/>
      </c>
      <c r="N64" s="14"/>
      <c r="O64" s="14" t="str">
        <f t="shared" si="6"/>
        <v>Not Started</v>
      </c>
      <c r="P64" s="14" t="str">
        <f t="shared" ca="1" si="7"/>
        <v>On Track</v>
      </c>
      <c r="Q64" s="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</row>
    <row r="65" spans="1:73" ht="16.5" customHeight="1">
      <c r="A65" s="24">
        <f>A63+1</f>
        <v>57</v>
      </c>
      <c r="B65" s="23" t="s">
        <v>225</v>
      </c>
      <c r="C65" s="25" t="s">
        <v>115</v>
      </c>
      <c r="D65" s="18" t="s">
        <v>126</v>
      </c>
      <c r="E65" s="18" t="s">
        <v>127</v>
      </c>
      <c r="F65" s="12" t="s">
        <v>128</v>
      </c>
      <c r="G65" s="14"/>
      <c r="H65" s="19">
        <v>1</v>
      </c>
      <c r="I65" s="16">
        <v>46191</v>
      </c>
      <c r="J65" s="16">
        <v>46201</v>
      </c>
      <c r="K65" s="16"/>
      <c r="L65" s="16"/>
      <c r="M65" s="22" t="str">
        <f t="shared" ca="1" si="9"/>
        <v/>
      </c>
      <c r="N65" s="14"/>
      <c r="O65" s="14" t="str">
        <f t="shared" si="6"/>
        <v>Not Started</v>
      </c>
      <c r="P65" s="14" t="str">
        <f t="shared" ca="1" si="7"/>
        <v>On Track</v>
      </c>
      <c r="Q65" s="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</row>
    <row r="66" spans="1:73" ht="16.5" customHeight="1">
      <c r="A66" s="24">
        <f t="shared" si="8"/>
        <v>58</v>
      </c>
      <c r="B66" s="23" t="s">
        <v>225</v>
      </c>
      <c r="C66" s="25" t="s">
        <v>115</v>
      </c>
      <c r="D66" s="18" t="s">
        <v>129</v>
      </c>
      <c r="E66" s="18" t="s">
        <v>130</v>
      </c>
      <c r="F66" s="12" t="s">
        <v>131</v>
      </c>
      <c r="G66" s="14"/>
      <c r="H66" s="19">
        <v>0.8</v>
      </c>
      <c r="I66" s="16">
        <v>46192</v>
      </c>
      <c r="J66" s="16">
        <v>46200</v>
      </c>
      <c r="K66" s="16"/>
      <c r="L66" s="16"/>
      <c r="M66" s="22" t="str">
        <f t="shared" ca="1" si="9"/>
        <v/>
      </c>
      <c r="N66" s="14"/>
      <c r="O66" s="14" t="str">
        <f t="shared" si="6"/>
        <v>Not Started</v>
      </c>
      <c r="P66" s="14" t="str">
        <f t="shared" ca="1" si="7"/>
        <v>On Track</v>
      </c>
      <c r="Q66" s="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</row>
    <row r="67" spans="1:73" ht="16.5" customHeight="1">
      <c r="A67" s="24">
        <f t="shared" si="8"/>
        <v>59</v>
      </c>
      <c r="B67" s="23" t="s">
        <v>225</v>
      </c>
      <c r="C67" s="25" t="s">
        <v>132</v>
      </c>
      <c r="D67" s="18" t="s">
        <v>133</v>
      </c>
      <c r="E67" s="18" t="s">
        <v>134</v>
      </c>
      <c r="F67" s="12" t="s">
        <v>135</v>
      </c>
      <c r="G67" s="14"/>
      <c r="H67" s="19">
        <v>0.6</v>
      </c>
      <c r="I67" s="16">
        <v>46193</v>
      </c>
      <c r="J67" s="16">
        <v>46198</v>
      </c>
      <c r="K67" s="16"/>
      <c r="L67" s="16"/>
      <c r="M67" s="22" t="str">
        <f t="shared" ca="1" si="9"/>
        <v/>
      </c>
      <c r="N67" s="14"/>
      <c r="O67" s="14" t="str">
        <f t="shared" si="6"/>
        <v>Not Started</v>
      </c>
      <c r="P67" s="14" t="str">
        <f t="shared" ca="1" si="7"/>
        <v>On Track</v>
      </c>
      <c r="Q67" s="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</row>
    <row r="68" spans="1:73" ht="16.5" customHeight="1">
      <c r="A68" s="24">
        <f t="shared" si="8"/>
        <v>60</v>
      </c>
      <c r="B68" s="23" t="s">
        <v>225</v>
      </c>
      <c r="C68" s="25" t="s">
        <v>132</v>
      </c>
      <c r="D68" s="18" t="s">
        <v>136</v>
      </c>
      <c r="E68" s="18" t="s">
        <v>137</v>
      </c>
      <c r="F68" s="12" t="s">
        <v>138</v>
      </c>
      <c r="G68" s="14"/>
      <c r="H68" s="19">
        <v>0.6</v>
      </c>
      <c r="I68" s="16">
        <v>46199</v>
      </c>
      <c r="J68" s="16">
        <v>46204</v>
      </c>
      <c r="K68" s="16"/>
      <c r="L68" s="16"/>
      <c r="M68" s="22" t="str">
        <f t="shared" ca="1" si="9"/>
        <v/>
      </c>
      <c r="N68" s="14"/>
      <c r="O68" s="14" t="str">
        <f t="shared" si="6"/>
        <v>Not Started</v>
      </c>
      <c r="P68" s="14" t="str">
        <f t="shared" ca="1" si="7"/>
        <v>On Track</v>
      </c>
      <c r="Q68" s="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</row>
    <row r="69" spans="1:73" ht="16.5" customHeight="1">
      <c r="A69" s="24">
        <f t="shared" si="8"/>
        <v>61</v>
      </c>
      <c r="B69" s="23" t="s">
        <v>225</v>
      </c>
      <c r="C69" s="25" t="s">
        <v>132</v>
      </c>
      <c r="D69" s="18" t="s">
        <v>136</v>
      </c>
      <c r="E69" s="18" t="s">
        <v>139</v>
      </c>
      <c r="F69" s="12" t="s">
        <v>140</v>
      </c>
      <c r="G69" s="14"/>
      <c r="H69" s="19">
        <v>0.5</v>
      </c>
      <c r="I69" s="16">
        <v>46199</v>
      </c>
      <c r="J69" s="16">
        <v>46203</v>
      </c>
      <c r="K69" s="16"/>
      <c r="L69" s="16"/>
      <c r="M69" s="22" t="str">
        <f t="shared" ca="1" si="9"/>
        <v/>
      </c>
      <c r="N69" s="14"/>
      <c r="O69" s="14" t="str">
        <f t="shared" si="6"/>
        <v>Not Started</v>
      </c>
      <c r="P69" s="14" t="str">
        <f t="shared" ca="1" si="7"/>
        <v>On Track</v>
      </c>
      <c r="Q69" s="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</row>
    <row r="70" spans="1:73" ht="16.5" customHeight="1">
      <c r="A70" s="24">
        <f t="shared" si="8"/>
        <v>62</v>
      </c>
      <c r="B70" s="23" t="s">
        <v>225</v>
      </c>
      <c r="C70" s="25" t="s">
        <v>141</v>
      </c>
      <c r="D70" s="18" t="s">
        <v>142</v>
      </c>
      <c r="E70" s="18" t="s">
        <v>130</v>
      </c>
      <c r="F70" s="12" t="s">
        <v>143</v>
      </c>
      <c r="G70" s="14"/>
      <c r="H70" s="19">
        <v>0.6</v>
      </c>
      <c r="I70" s="16">
        <v>46198</v>
      </c>
      <c r="J70" s="16">
        <v>46203</v>
      </c>
      <c r="K70" s="16"/>
      <c r="L70" s="16"/>
      <c r="M70" s="22" t="str">
        <f t="shared" ca="1" si="9"/>
        <v/>
      </c>
      <c r="N70" s="14"/>
      <c r="O70" s="14" t="str">
        <f t="shared" si="6"/>
        <v>Not Started</v>
      </c>
      <c r="P70" s="14" t="str">
        <f t="shared" ca="1" si="7"/>
        <v>On Track</v>
      </c>
      <c r="Q70" s="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</row>
    <row r="71" spans="1:73" ht="16.5" customHeight="1">
      <c r="A71" s="24">
        <f t="shared" si="8"/>
        <v>63</v>
      </c>
      <c r="B71" s="23" t="s">
        <v>225</v>
      </c>
      <c r="C71" s="25" t="s">
        <v>141</v>
      </c>
      <c r="D71" s="18" t="s">
        <v>144</v>
      </c>
      <c r="E71" s="18" t="s">
        <v>145</v>
      </c>
      <c r="F71" s="12" t="s">
        <v>121</v>
      </c>
      <c r="G71" s="14"/>
      <c r="H71" s="19">
        <v>2.2000000000000002</v>
      </c>
      <c r="I71" s="16">
        <v>46204</v>
      </c>
      <c r="J71" s="16">
        <v>46223</v>
      </c>
      <c r="K71" s="16"/>
      <c r="L71" s="16"/>
      <c r="M71" s="22" t="str">
        <f t="shared" ref="M71:M105" ca="1" si="10">IF(OR(ISBLANK(task_start),ISBLANK(task_end)),"",
NETWORKDAYS(task_start,task_end)/5)</f>
        <v/>
      </c>
      <c r="N71" s="14"/>
      <c r="O71" s="14" t="str">
        <f t="shared" si="6"/>
        <v>Not Started</v>
      </c>
      <c r="P71" s="14" t="str">
        <f t="shared" ca="1" si="7"/>
        <v>On Track</v>
      </c>
      <c r="Q71" s="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</row>
    <row r="72" spans="1:73" ht="16.5" customHeight="1">
      <c r="A72" s="24">
        <f t="shared" si="8"/>
        <v>64</v>
      </c>
      <c r="B72" s="23" t="s">
        <v>225</v>
      </c>
      <c r="C72" s="25" t="s">
        <v>141</v>
      </c>
      <c r="D72" s="18" t="s">
        <v>144</v>
      </c>
      <c r="E72" s="18" t="s">
        <v>146</v>
      </c>
      <c r="F72" s="12" t="s">
        <v>56</v>
      </c>
      <c r="G72" s="14"/>
      <c r="H72" s="19">
        <v>2</v>
      </c>
      <c r="I72" s="16">
        <v>46204</v>
      </c>
      <c r="J72" s="16">
        <v>46221</v>
      </c>
      <c r="K72" s="16"/>
      <c r="L72" s="16"/>
      <c r="M72" s="22" t="str">
        <f t="shared" ca="1" si="10"/>
        <v/>
      </c>
      <c r="N72" s="14"/>
      <c r="O72" s="14" t="str">
        <f t="shared" ref="O72:O105" si="11">IF($N72&gt;=1,"Completed",
 IF($N72=0,"Not Started",
 "In Progress"))</f>
        <v>Not Started</v>
      </c>
      <c r="P72" s="14" t="str">
        <f t="shared" ref="P72:P105" ca="1" si="12">IF($N72&gt;=1,
    IF($M72&gt;$K72,"Delayed","On Track"),
 IF(TODAY()&lt;$J72,
    "On Track",
 IF(AND($N72=0,TODAY()&gt;$K72),
    "Delayed",
 IF(AND($L72&lt;&gt;"",$L72&gt;$J72),
    "At Risk",
 IF(TODAY()&gt;$K72,
    "Delayed",
 "On Track")))))</f>
        <v>On Track</v>
      </c>
      <c r="Q72" s="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</row>
    <row r="73" spans="1:73" ht="16.5" customHeight="1">
      <c r="A73" s="24">
        <f t="shared" ref="A73:A105" si="13">A72+1</f>
        <v>65</v>
      </c>
      <c r="B73" s="23" t="s">
        <v>225</v>
      </c>
      <c r="C73" s="25" t="s">
        <v>141</v>
      </c>
      <c r="D73" s="18" t="s">
        <v>144</v>
      </c>
      <c r="E73" s="18" t="s">
        <v>147</v>
      </c>
      <c r="F73" s="12" t="s">
        <v>148</v>
      </c>
      <c r="G73" s="14"/>
      <c r="H73" s="19">
        <v>2.2000000000000002</v>
      </c>
      <c r="I73" s="16">
        <v>46205</v>
      </c>
      <c r="J73" s="16">
        <v>46225</v>
      </c>
      <c r="K73" s="16"/>
      <c r="L73" s="16"/>
      <c r="M73" s="22" t="str">
        <f t="shared" ca="1" si="10"/>
        <v/>
      </c>
      <c r="N73" s="14"/>
      <c r="O73" s="14" t="str">
        <f t="shared" si="11"/>
        <v>Not Started</v>
      </c>
      <c r="P73" s="14" t="str">
        <f t="shared" ca="1" si="12"/>
        <v>On Track</v>
      </c>
      <c r="Q73" s="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</row>
    <row r="74" spans="1:73" ht="16.5" customHeight="1">
      <c r="A74" s="24">
        <f t="shared" si="13"/>
        <v>66</v>
      </c>
      <c r="B74" s="23" t="s">
        <v>225</v>
      </c>
      <c r="C74" s="25" t="s">
        <v>141</v>
      </c>
      <c r="D74" s="18" t="s">
        <v>144</v>
      </c>
      <c r="E74" s="18" t="s">
        <v>111</v>
      </c>
      <c r="F74" s="12" t="s">
        <v>149</v>
      </c>
      <c r="G74" s="14"/>
      <c r="H74" s="19">
        <v>1.2</v>
      </c>
      <c r="I74" s="16">
        <v>46206</v>
      </c>
      <c r="J74" s="16">
        <v>46217</v>
      </c>
      <c r="K74" s="16"/>
      <c r="L74" s="16"/>
      <c r="M74" s="22" t="str">
        <f t="shared" ca="1" si="10"/>
        <v/>
      </c>
      <c r="N74" s="14"/>
      <c r="O74" s="14" t="str">
        <f t="shared" si="11"/>
        <v>Not Started</v>
      </c>
      <c r="P74" s="14" t="str">
        <f t="shared" ca="1" si="12"/>
        <v>On Track</v>
      </c>
      <c r="Q74" s="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</row>
    <row r="75" spans="1:73" ht="16.5" customHeight="1">
      <c r="A75" s="24">
        <f t="shared" si="13"/>
        <v>67</v>
      </c>
      <c r="B75" s="23" t="s">
        <v>225</v>
      </c>
      <c r="C75" s="25" t="s">
        <v>141</v>
      </c>
      <c r="D75" s="18" t="s">
        <v>144</v>
      </c>
      <c r="E75" s="18" t="s">
        <v>66</v>
      </c>
      <c r="F75" s="12" t="s">
        <v>150</v>
      </c>
      <c r="G75" s="14"/>
      <c r="H75" s="19">
        <v>1</v>
      </c>
      <c r="I75" s="16">
        <v>46207</v>
      </c>
      <c r="J75" s="16">
        <v>46216</v>
      </c>
      <c r="K75" s="16"/>
      <c r="L75" s="16"/>
      <c r="M75" s="22" t="str">
        <f t="shared" ca="1" si="10"/>
        <v/>
      </c>
      <c r="N75" s="14"/>
      <c r="O75" s="14" t="str">
        <f t="shared" si="11"/>
        <v>Not Started</v>
      </c>
      <c r="P75" s="14" t="str">
        <f t="shared" ca="1" si="12"/>
        <v>On Track</v>
      </c>
      <c r="Q75" s="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</row>
    <row r="76" spans="1:73" ht="16.5" customHeight="1">
      <c r="A76" s="24">
        <f t="shared" si="13"/>
        <v>68</v>
      </c>
      <c r="B76" s="23" t="s">
        <v>225</v>
      </c>
      <c r="C76" s="25" t="s">
        <v>141</v>
      </c>
      <c r="D76" s="18" t="s">
        <v>144</v>
      </c>
      <c r="E76" s="18" t="s">
        <v>151</v>
      </c>
      <c r="F76" s="12" t="s">
        <v>152</v>
      </c>
      <c r="G76" s="14"/>
      <c r="H76" s="19">
        <v>1</v>
      </c>
      <c r="I76" s="16">
        <v>46208</v>
      </c>
      <c r="J76" s="16">
        <v>46217</v>
      </c>
      <c r="K76" s="16"/>
      <c r="L76" s="16"/>
      <c r="M76" s="22" t="str">
        <f t="shared" ca="1" si="10"/>
        <v/>
      </c>
      <c r="N76" s="14"/>
      <c r="O76" s="14" t="str">
        <f t="shared" si="11"/>
        <v>Not Started</v>
      </c>
      <c r="P76" s="14" t="str">
        <f t="shared" ca="1" si="12"/>
        <v>On Track</v>
      </c>
      <c r="Q76" s="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</row>
    <row r="77" spans="1:73" ht="16.5" customHeight="1">
      <c r="A77" s="24">
        <f t="shared" si="13"/>
        <v>69</v>
      </c>
      <c r="B77" s="23" t="s">
        <v>225</v>
      </c>
      <c r="C77" s="25" t="s">
        <v>141</v>
      </c>
      <c r="D77" s="18" t="s">
        <v>144</v>
      </c>
      <c r="E77" s="18" t="s">
        <v>153</v>
      </c>
      <c r="F77" s="12" t="s">
        <v>154</v>
      </c>
      <c r="G77" s="14"/>
      <c r="H77" s="19">
        <v>1</v>
      </c>
      <c r="I77" s="16">
        <v>46209</v>
      </c>
      <c r="J77" s="16">
        <v>46218</v>
      </c>
      <c r="K77" s="16"/>
      <c r="L77" s="16"/>
      <c r="M77" s="22" t="str">
        <f t="shared" ca="1" si="10"/>
        <v/>
      </c>
      <c r="N77" s="14"/>
      <c r="O77" s="14" t="str">
        <f t="shared" si="11"/>
        <v>Not Started</v>
      </c>
      <c r="P77" s="14" t="str">
        <f t="shared" ca="1" si="12"/>
        <v>On Track</v>
      </c>
      <c r="Q77" s="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</row>
    <row r="78" spans="1:73" ht="16.5" customHeight="1">
      <c r="A78" s="24">
        <f t="shared" si="13"/>
        <v>70</v>
      </c>
      <c r="B78" s="23" t="s">
        <v>225</v>
      </c>
      <c r="C78" s="25" t="s">
        <v>141</v>
      </c>
      <c r="D78" s="18" t="s">
        <v>155</v>
      </c>
      <c r="E78" s="18" t="s">
        <v>156</v>
      </c>
      <c r="F78" s="12" t="s">
        <v>157</v>
      </c>
      <c r="G78" s="14"/>
      <c r="H78" s="21">
        <v>1.5</v>
      </c>
      <c r="I78" s="16">
        <v>46224</v>
      </c>
      <c r="J78" s="16">
        <v>46236</v>
      </c>
      <c r="K78" s="16"/>
      <c r="L78" s="16"/>
      <c r="M78" s="22" t="str">
        <f t="shared" ca="1" si="10"/>
        <v/>
      </c>
      <c r="N78" s="12"/>
      <c r="O78" s="14" t="str">
        <f t="shared" si="11"/>
        <v>Not Started</v>
      </c>
      <c r="P78" s="14" t="str">
        <f t="shared" ca="1" si="12"/>
        <v>On Track</v>
      </c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</row>
    <row r="79" spans="1:73" ht="16.5" customHeight="1">
      <c r="A79" s="24">
        <f t="shared" si="13"/>
        <v>71</v>
      </c>
      <c r="B79" s="23" t="s">
        <v>225</v>
      </c>
      <c r="C79" s="25" t="s">
        <v>141</v>
      </c>
      <c r="D79" s="18" t="s">
        <v>73</v>
      </c>
      <c r="E79" s="18" t="s">
        <v>74</v>
      </c>
      <c r="F79" s="12" t="s">
        <v>158</v>
      </c>
      <c r="G79" s="14"/>
      <c r="H79" s="21">
        <v>0.6</v>
      </c>
      <c r="I79" s="16">
        <v>46237</v>
      </c>
      <c r="J79" s="16">
        <v>46241</v>
      </c>
      <c r="K79" s="16"/>
      <c r="L79" s="16"/>
      <c r="M79" s="22" t="str">
        <f t="shared" ca="1" si="10"/>
        <v/>
      </c>
      <c r="N79" s="12"/>
      <c r="O79" s="14" t="str">
        <f t="shared" si="11"/>
        <v>Not Started</v>
      </c>
      <c r="P79" s="14" t="str">
        <f t="shared" ca="1" si="12"/>
        <v>On Track</v>
      </c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</row>
    <row r="80" spans="1:73" ht="16.5" customHeight="1">
      <c r="A80" s="24">
        <f t="shared" si="13"/>
        <v>72</v>
      </c>
      <c r="B80" s="23" t="s">
        <v>225</v>
      </c>
      <c r="C80" s="25" t="s">
        <v>159</v>
      </c>
      <c r="D80" s="18" t="s">
        <v>160</v>
      </c>
      <c r="E80" s="18" t="s">
        <v>161</v>
      </c>
      <c r="F80" s="12" t="s">
        <v>162</v>
      </c>
      <c r="G80" s="14"/>
      <c r="H80" s="21">
        <v>0.6</v>
      </c>
      <c r="I80" s="16">
        <v>46242</v>
      </c>
      <c r="J80" s="16">
        <v>46246</v>
      </c>
      <c r="K80" s="16"/>
      <c r="L80" s="16"/>
      <c r="M80" s="22" t="str">
        <f t="shared" ca="1" si="10"/>
        <v/>
      </c>
      <c r="N80" s="12"/>
      <c r="O80" s="14" t="str">
        <f t="shared" si="11"/>
        <v>Not Started</v>
      </c>
      <c r="P80" s="14" t="str">
        <f t="shared" ca="1" si="12"/>
        <v>On Track</v>
      </c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</row>
    <row r="81" spans="1:73" ht="16.5" customHeight="1">
      <c r="A81" s="24">
        <f t="shared" si="13"/>
        <v>73</v>
      </c>
      <c r="B81" s="23" t="s">
        <v>225</v>
      </c>
      <c r="C81" s="25" t="s">
        <v>159</v>
      </c>
      <c r="D81" s="18" t="s">
        <v>127</v>
      </c>
      <c r="E81" s="18" t="s">
        <v>163</v>
      </c>
      <c r="F81" s="12" t="s">
        <v>96</v>
      </c>
      <c r="G81" s="14"/>
      <c r="H81" s="21">
        <v>0.6</v>
      </c>
      <c r="I81" s="16">
        <v>46247</v>
      </c>
      <c r="J81" s="16">
        <v>46251</v>
      </c>
      <c r="K81" s="16"/>
      <c r="L81" s="16"/>
      <c r="M81" s="22" t="str">
        <f t="shared" ca="1" si="10"/>
        <v/>
      </c>
      <c r="N81" s="12"/>
      <c r="O81" s="14" t="str">
        <f t="shared" si="11"/>
        <v>Not Started</v>
      </c>
      <c r="P81" s="14" t="str">
        <f t="shared" ca="1" si="12"/>
        <v>On Track</v>
      </c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</row>
    <row r="82" spans="1:73" ht="16.5" customHeight="1">
      <c r="A82" s="24">
        <f t="shared" si="13"/>
        <v>74</v>
      </c>
      <c r="B82" s="23" t="s">
        <v>225</v>
      </c>
      <c r="C82" s="25" t="s">
        <v>164</v>
      </c>
      <c r="D82" s="18" t="s">
        <v>161</v>
      </c>
      <c r="E82" s="18" t="s">
        <v>165</v>
      </c>
      <c r="F82" s="12" t="s">
        <v>166</v>
      </c>
      <c r="G82" s="14"/>
      <c r="H82" s="21">
        <v>1.5</v>
      </c>
      <c r="I82" s="16">
        <v>46252</v>
      </c>
      <c r="J82" s="16">
        <v>46264</v>
      </c>
      <c r="K82" s="16"/>
      <c r="L82" s="16"/>
      <c r="M82" s="22" t="str">
        <f t="shared" ca="1" si="10"/>
        <v/>
      </c>
      <c r="N82" s="12"/>
      <c r="O82" s="14" t="str">
        <f t="shared" si="11"/>
        <v>Not Started</v>
      </c>
      <c r="P82" s="14" t="str">
        <f t="shared" ca="1" si="12"/>
        <v>On Track</v>
      </c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</row>
    <row r="83" spans="1:73" ht="16.5" customHeight="1">
      <c r="A83" s="24">
        <f t="shared" si="13"/>
        <v>75</v>
      </c>
      <c r="B83" s="23" t="s">
        <v>225</v>
      </c>
      <c r="C83" s="25" t="s">
        <v>164</v>
      </c>
      <c r="D83" s="18" t="s">
        <v>153</v>
      </c>
      <c r="E83" s="18" t="s">
        <v>127</v>
      </c>
      <c r="F83" s="12" t="s">
        <v>167</v>
      </c>
      <c r="G83" s="14"/>
      <c r="H83" s="21">
        <v>0.8</v>
      </c>
      <c r="I83" s="16">
        <v>46256</v>
      </c>
      <c r="J83" s="16">
        <v>46262</v>
      </c>
      <c r="K83" s="16"/>
      <c r="L83" s="16"/>
      <c r="M83" s="22" t="str">
        <f t="shared" ca="1" si="10"/>
        <v/>
      </c>
      <c r="N83" s="12"/>
      <c r="O83" s="14" t="str">
        <f t="shared" si="11"/>
        <v>Not Started</v>
      </c>
      <c r="P83" s="14" t="str">
        <f t="shared" ca="1" si="12"/>
        <v>On Track</v>
      </c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</row>
    <row r="84" spans="1:73" ht="16.5" customHeight="1">
      <c r="A84" s="24">
        <f t="shared" si="13"/>
        <v>76</v>
      </c>
      <c r="B84" s="23" t="s">
        <v>225</v>
      </c>
      <c r="C84" s="25" t="s">
        <v>164</v>
      </c>
      <c r="D84" s="18" t="s">
        <v>153</v>
      </c>
      <c r="E84" s="18" t="s">
        <v>127</v>
      </c>
      <c r="F84" s="12" t="s">
        <v>168</v>
      </c>
      <c r="G84" s="14"/>
      <c r="H84" s="21">
        <v>0.8</v>
      </c>
      <c r="I84" s="16">
        <v>46256</v>
      </c>
      <c r="J84" s="16">
        <v>46262</v>
      </c>
      <c r="K84" s="16"/>
      <c r="L84" s="16"/>
      <c r="M84" s="22" t="str">
        <f t="shared" ca="1" si="10"/>
        <v/>
      </c>
      <c r="N84" s="12"/>
      <c r="O84" s="14" t="str">
        <f t="shared" si="11"/>
        <v>Not Started</v>
      </c>
      <c r="P84" s="14" t="str">
        <f t="shared" ca="1" si="12"/>
        <v>On Track</v>
      </c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</row>
    <row r="85" spans="1:73" ht="16.5" customHeight="1">
      <c r="A85" s="24">
        <f>A83+1</f>
        <v>76</v>
      </c>
      <c r="B85" s="23" t="s">
        <v>225</v>
      </c>
      <c r="C85" s="25" t="s">
        <v>164</v>
      </c>
      <c r="D85" s="18" t="s">
        <v>73</v>
      </c>
      <c r="E85" s="18" t="s">
        <v>163</v>
      </c>
      <c r="F85" s="12" t="s">
        <v>169</v>
      </c>
      <c r="G85" s="14"/>
      <c r="H85" s="21">
        <v>0.6</v>
      </c>
      <c r="I85" s="16">
        <v>46265</v>
      </c>
      <c r="J85" s="16">
        <v>46269</v>
      </c>
      <c r="K85" s="16"/>
      <c r="L85" s="16"/>
      <c r="M85" s="22" t="str">
        <f t="shared" ca="1" si="10"/>
        <v/>
      </c>
      <c r="N85" s="12"/>
      <c r="O85" s="14" t="str">
        <f t="shared" si="11"/>
        <v>Not Started</v>
      </c>
      <c r="P85" s="14" t="str">
        <f t="shared" ca="1" si="12"/>
        <v>On Track</v>
      </c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</row>
    <row r="86" spans="1:73" ht="16.5" customHeight="1">
      <c r="A86" s="24">
        <f t="shared" si="13"/>
        <v>77</v>
      </c>
      <c r="B86" s="23" t="s">
        <v>225</v>
      </c>
      <c r="C86" s="25" t="s">
        <v>170</v>
      </c>
      <c r="D86" s="18" t="s">
        <v>73</v>
      </c>
      <c r="E86" s="18" t="s">
        <v>139</v>
      </c>
      <c r="F86" s="12" t="s">
        <v>171</v>
      </c>
      <c r="G86" s="14"/>
      <c r="H86" s="21">
        <v>0.6</v>
      </c>
      <c r="I86" s="16">
        <v>46327</v>
      </c>
      <c r="J86" s="16">
        <v>46329</v>
      </c>
      <c r="K86" s="16"/>
      <c r="L86" s="16"/>
      <c r="M86" s="22" t="str">
        <f t="shared" ca="1" si="10"/>
        <v/>
      </c>
      <c r="N86" s="12"/>
      <c r="O86" s="14" t="str">
        <f t="shared" si="11"/>
        <v>Not Started</v>
      </c>
      <c r="P86" s="14" t="str">
        <f t="shared" ca="1" si="12"/>
        <v>On Track</v>
      </c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</row>
    <row r="87" spans="1:73" ht="16.5" customHeight="1">
      <c r="A87" s="24">
        <f t="shared" si="13"/>
        <v>78</v>
      </c>
      <c r="B87" s="23" t="s">
        <v>225</v>
      </c>
      <c r="C87" s="25" t="s">
        <v>170</v>
      </c>
      <c r="D87" s="18" t="s">
        <v>73</v>
      </c>
      <c r="E87" s="18" t="s">
        <v>172</v>
      </c>
      <c r="F87" s="12" t="s">
        <v>173</v>
      </c>
      <c r="G87" s="14"/>
      <c r="H87" s="21">
        <v>0.5</v>
      </c>
      <c r="I87" s="16">
        <v>46327</v>
      </c>
      <c r="J87" s="16">
        <v>46329</v>
      </c>
      <c r="K87" s="16"/>
      <c r="L87" s="16"/>
      <c r="M87" s="22" t="str">
        <f t="shared" ca="1" si="10"/>
        <v/>
      </c>
      <c r="N87" s="12"/>
      <c r="O87" s="14" t="str">
        <f t="shared" si="11"/>
        <v>Not Started</v>
      </c>
      <c r="P87" s="14" t="str">
        <f t="shared" ca="1" si="12"/>
        <v>On Track</v>
      </c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</row>
    <row r="88" spans="1:73" ht="16.5" customHeight="1">
      <c r="A88" s="24">
        <f t="shared" si="13"/>
        <v>79</v>
      </c>
      <c r="B88" s="23" t="s">
        <v>225</v>
      </c>
      <c r="C88" s="25" t="s">
        <v>170</v>
      </c>
      <c r="D88" s="18" t="s">
        <v>73</v>
      </c>
      <c r="E88" s="18" t="s">
        <v>174</v>
      </c>
      <c r="F88" s="12" t="s">
        <v>175</v>
      </c>
      <c r="G88" s="14"/>
      <c r="H88" s="21">
        <v>0.6</v>
      </c>
      <c r="I88" s="16">
        <v>46328</v>
      </c>
      <c r="J88" s="16">
        <v>46330</v>
      </c>
      <c r="K88" s="16"/>
      <c r="L88" s="16"/>
      <c r="M88" s="22" t="str">
        <f t="shared" ca="1" si="10"/>
        <v/>
      </c>
      <c r="N88" s="12"/>
      <c r="O88" s="14" t="str">
        <f t="shared" si="11"/>
        <v>Not Started</v>
      </c>
      <c r="P88" s="14" t="str">
        <f t="shared" ca="1" si="12"/>
        <v>On Track</v>
      </c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</row>
    <row r="89" spans="1:73" ht="16.5" customHeight="1">
      <c r="A89" s="24">
        <f t="shared" si="13"/>
        <v>80</v>
      </c>
      <c r="B89" s="23" t="s">
        <v>225</v>
      </c>
      <c r="C89" s="25" t="s">
        <v>170</v>
      </c>
      <c r="D89" s="18" t="s">
        <v>73</v>
      </c>
      <c r="E89" s="18" t="s">
        <v>176</v>
      </c>
      <c r="F89" s="12" t="s">
        <v>177</v>
      </c>
      <c r="G89" s="14"/>
      <c r="H89" s="21">
        <v>0.6</v>
      </c>
      <c r="I89" s="16">
        <v>46328</v>
      </c>
      <c r="J89" s="16">
        <v>46331</v>
      </c>
      <c r="K89" s="16"/>
      <c r="L89" s="16"/>
      <c r="M89" s="22" t="str">
        <f t="shared" ca="1" si="10"/>
        <v/>
      </c>
      <c r="N89" s="12"/>
      <c r="O89" s="14" t="str">
        <f t="shared" si="11"/>
        <v>Not Started</v>
      </c>
      <c r="P89" s="14" t="str">
        <f t="shared" ca="1" si="12"/>
        <v>On Track</v>
      </c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</row>
    <row r="90" spans="1:73" ht="16.5" customHeight="1">
      <c r="A90" s="24">
        <f t="shared" si="13"/>
        <v>81</v>
      </c>
      <c r="B90" s="23" t="s">
        <v>225</v>
      </c>
      <c r="C90" s="25" t="s">
        <v>170</v>
      </c>
      <c r="D90" s="18" t="s">
        <v>73</v>
      </c>
      <c r="E90" s="18" t="s">
        <v>178</v>
      </c>
      <c r="F90" s="12" t="s">
        <v>179</v>
      </c>
      <c r="G90" s="14"/>
      <c r="H90" s="21">
        <v>0.5</v>
      </c>
      <c r="I90" s="16">
        <v>46329</v>
      </c>
      <c r="J90" s="16">
        <v>46331</v>
      </c>
      <c r="K90" s="16"/>
      <c r="L90" s="16"/>
      <c r="M90" s="22" t="str">
        <f t="shared" ca="1" si="10"/>
        <v/>
      </c>
      <c r="N90" s="12"/>
      <c r="O90" s="14" t="str">
        <f t="shared" si="11"/>
        <v>Not Started</v>
      </c>
      <c r="P90" s="14" t="str">
        <f t="shared" ca="1" si="12"/>
        <v>On Track</v>
      </c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</row>
    <row r="91" spans="1:73" ht="16.5" customHeight="1">
      <c r="A91" s="24">
        <f t="shared" si="13"/>
        <v>82</v>
      </c>
      <c r="B91" s="23" t="s">
        <v>225</v>
      </c>
      <c r="C91" s="25" t="s">
        <v>170</v>
      </c>
      <c r="D91" s="18" t="s">
        <v>73</v>
      </c>
      <c r="E91" s="18" t="s">
        <v>180</v>
      </c>
      <c r="F91" s="12" t="s">
        <v>181</v>
      </c>
      <c r="G91" s="14"/>
      <c r="H91" s="21">
        <v>0.5</v>
      </c>
      <c r="I91" s="16">
        <v>46329</v>
      </c>
      <c r="J91" s="16">
        <v>46332</v>
      </c>
      <c r="K91" s="16"/>
      <c r="L91" s="16"/>
      <c r="M91" s="22" t="str">
        <f t="shared" ca="1" si="10"/>
        <v/>
      </c>
      <c r="N91" s="12"/>
      <c r="O91" s="14" t="str">
        <f t="shared" si="11"/>
        <v>Not Started</v>
      </c>
      <c r="P91" s="14" t="str">
        <f t="shared" ca="1" si="12"/>
        <v>On Track</v>
      </c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</row>
    <row r="92" spans="1:73" ht="16.5" customHeight="1">
      <c r="A92" s="24">
        <f t="shared" si="13"/>
        <v>83</v>
      </c>
      <c r="B92" s="23" t="s">
        <v>225</v>
      </c>
      <c r="C92" s="25" t="s">
        <v>170</v>
      </c>
      <c r="D92" s="18" t="s">
        <v>73</v>
      </c>
      <c r="E92" s="18" t="s">
        <v>163</v>
      </c>
      <c r="F92" s="12" t="s">
        <v>182</v>
      </c>
      <c r="G92" s="14"/>
      <c r="H92" s="21">
        <v>0.6</v>
      </c>
      <c r="I92" s="16">
        <v>46333</v>
      </c>
      <c r="J92" s="16">
        <v>46336</v>
      </c>
      <c r="K92" s="16"/>
      <c r="L92" s="16"/>
      <c r="M92" s="22" t="str">
        <f t="shared" ca="1" si="10"/>
        <v/>
      </c>
      <c r="N92" s="12"/>
      <c r="O92" s="14" t="str">
        <f t="shared" si="11"/>
        <v>Not Started</v>
      </c>
      <c r="P92" s="14" t="str">
        <f t="shared" ca="1" si="12"/>
        <v>On Track</v>
      </c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</row>
    <row r="93" spans="1:73" ht="16.5" customHeight="1">
      <c r="A93" s="24">
        <f t="shared" si="13"/>
        <v>84</v>
      </c>
      <c r="B93" s="23" t="s">
        <v>225</v>
      </c>
      <c r="C93" s="25" t="s">
        <v>183</v>
      </c>
      <c r="D93" s="18" t="s">
        <v>160</v>
      </c>
      <c r="E93" s="18" t="s">
        <v>163</v>
      </c>
      <c r="F93" s="12" t="s">
        <v>184</v>
      </c>
      <c r="G93" s="14"/>
      <c r="H93" s="21">
        <v>0.2</v>
      </c>
      <c r="I93" s="16">
        <v>46341</v>
      </c>
      <c r="J93" s="16">
        <v>46341</v>
      </c>
      <c r="K93" s="16"/>
      <c r="L93" s="16"/>
      <c r="M93" s="22" t="str">
        <f t="shared" ca="1" si="10"/>
        <v/>
      </c>
      <c r="N93" s="12"/>
      <c r="O93" s="14" t="str">
        <f t="shared" si="11"/>
        <v>Not Started</v>
      </c>
      <c r="P93" s="14" t="str">
        <f t="shared" ca="1" si="12"/>
        <v>On Track</v>
      </c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</row>
    <row r="94" spans="1:73" ht="16.5" customHeight="1">
      <c r="A94" s="24">
        <f t="shared" si="13"/>
        <v>85</v>
      </c>
      <c r="B94" s="23" t="s">
        <v>225</v>
      </c>
      <c r="C94" s="25" t="s">
        <v>183</v>
      </c>
      <c r="D94" s="18" t="s">
        <v>185</v>
      </c>
      <c r="E94" s="18" t="s">
        <v>120</v>
      </c>
      <c r="F94" s="12" t="s">
        <v>186</v>
      </c>
      <c r="G94" s="14"/>
      <c r="H94" s="21">
        <v>0.2</v>
      </c>
      <c r="I94" s="16">
        <v>46342</v>
      </c>
      <c r="J94" s="16">
        <v>46342</v>
      </c>
      <c r="K94" s="16"/>
      <c r="L94" s="16"/>
      <c r="M94" s="22" t="str">
        <f t="shared" ca="1" si="10"/>
        <v/>
      </c>
      <c r="N94" s="12"/>
      <c r="O94" s="14" t="str">
        <f t="shared" si="11"/>
        <v>Not Started</v>
      </c>
      <c r="P94" s="14" t="str">
        <f t="shared" ca="1" si="12"/>
        <v>On Track</v>
      </c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</row>
    <row r="95" spans="1:73" ht="16.5" customHeight="1">
      <c r="A95" s="24">
        <f t="shared" si="13"/>
        <v>86</v>
      </c>
      <c r="B95" s="23" t="s">
        <v>225</v>
      </c>
      <c r="C95" s="25" t="s">
        <v>183</v>
      </c>
      <c r="D95" s="18" t="s">
        <v>185</v>
      </c>
      <c r="E95" s="18" t="s">
        <v>106</v>
      </c>
      <c r="F95" s="12" t="s">
        <v>107</v>
      </c>
      <c r="G95" s="14"/>
      <c r="H95" s="21">
        <v>0.2</v>
      </c>
      <c r="I95" s="16">
        <v>46342</v>
      </c>
      <c r="J95" s="16">
        <v>46342</v>
      </c>
      <c r="K95" s="16"/>
      <c r="L95" s="16"/>
      <c r="M95" s="22" t="str">
        <f t="shared" ca="1" si="10"/>
        <v/>
      </c>
      <c r="N95" s="12"/>
      <c r="O95" s="14" t="str">
        <f t="shared" si="11"/>
        <v>Not Started</v>
      </c>
      <c r="P95" s="14" t="str">
        <f t="shared" ca="1" si="12"/>
        <v>On Track</v>
      </c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</row>
    <row r="96" spans="1:73" ht="16.5" customHeight="1">
      <c r="A96" s="24">
        <f t="shared" si="13"/>
        <v>87</v>
      </c>
      <c r="B96" s="23" t="s">
        <v>225</v>
      </c>
      <c r="C96" s="25" t="s">
        <v>183</v>
      </c>
      <c r="D96" s="18" t="s">
        <v>185</v>
      </c>
      <c r="E96" s="18" t="s">
        <v>108</v>
      </c>
      <c r="F96" s="12" t="s">
        <v>61</v>
      </c>
      <c r="G96" s="14"/>
      <c r="H96" s="21">
        <v>0.2</v>
      </c>
      <c r="I96" s="16">
        <v>46342</v>
      </c>
      <c r="J96" s="16">
        <v>46342</v>
      </c>
      <c r="K96" s="16"/>
      <c r="L96" s="16"/>
      <c r="M96" s="22" t="str">
        <f t="shared" ca="1" si="10"/>
        <v/>
      </c>
      <c r="N96" s="12"/>
      <c r="O96" s="14" t="str">
        <f t="shared" si="11"/>
        <v>Not Started</v>
      </c>
      <c r="P96" s="14" t="str">
        <f t="shared" ca="1" si="12"/>
        <v>On Track</v>
      </c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</row>
    <row r="97" spans="1:73" ht="16.5" customHeight="1">
      <c r="A97" s="24">
        <f t="shared" si="13"/>
        <v>88</v>
      </c>
      <c r="B97" s="23" t="s">
        <v>225</v>
      </c>
      <c r="C97" s="25" t="s">
        <v>183</v>
      </c>
      <c r="D97" s="18" t="s">
        <v>185</v>
      </c>
      <c r="E97" s="18" t="s">
        <v>109</v>
      </c>
      <c r="F97" s="12" t="s">
        <v>110</v>
      </c>
      <c r="G97" s="14"/>
      <c r="H97" s="21">
        <v>0.2</v>
      </c>
      <c r="I97" s="16">
        <v>46342</v>
      </c>
      <c r="J97" s="16">
        <v>46342</v>
      </c>
      <c r="K97" s="16"/>
      <c r="L97" s="16"/>
      <c r="M97" s="22" t="str">
        <f t="shared" ca="1" si="10"/>
        <v/>
      </c>
      <c r="N97" s="12"/>
      <c r="O97" s="14" t="str">
        <f t="shared" si="11"/>
        <v>Not Started</v>
      </c>
      <c r="P97" s="14" t="str">
        <f t="shared" ca="1" si="12"/>
        <v>On Track</v>
      </c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</row>
    <row r="98" spans="1:73" ht="16.5" customHeight="1">
      <c r="A98" s="24">
        <f t="shared" si="13"/>
        <v>89</v>
      </c>
      <c r="B98" s="23" t="s">
        <v>225</v>
      </c>
      <c r="C98" s="25" t="s">
        <v>183</v>
      </c>
      <c r="D98" s="18" t="s">
        <v>185</v>
      </c>
      <c r="E98" s="18" t="s">
        <v>111</v>
      </c>
      <c r="F98" s="12" t="s">
        <v>149</v>
      </c>
      <c r="G98" s="14"/>
      <c r="H98" s="21">
        <v>0.2</v>
      </c>
      <c r="I98" s="16">
        <v>46342</v>
      </c>
      <c r="J98" s="16">
        <v>46342</v>
      </c>
      <c r="K98" s="16"/>
      <c r="L98" s="16"/>
      <c r="M98" s="22" t="str">
        <f t="shared" ca="1" si="10"/>
        <v/>
      </c>
      <c r="N98" s="12"/>
      <c r="O98" s="14" t="str">
        <f t="shared" si="11"/>
        <v>Not Started</v>
      </c>
      <c r="P98" s="14" t="str">
        <f t="shared" ca="1" si="12"/>
        <v>On Track</v>
      </c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</row>
    <row r="99" spans="1:73" ht="16.5" customHeight="1">
      <c r="A99" s="24">
        <f t="shared" si="13"/>
        <v>90</v>
      </c>
      <c r="B99" s="23" t="s">
        <v>225</v>
      </c>
      <c r="C99" s="25" t="s">
        <v>183</v>
      </c>
      <c r="D99" s="18" t="s">
        <v>185</v>
      </c>
      <c r="E99" s="18" t="s">
        <v>146</v>
      </c>
      <c r="F99" s="12" t="s">
        <v>187</v>
      </c>
      <c r="G99" s="14"/>
      <c r="H99" s="21">
        <v>0.2</v>
      </c>
      <c r="I99" s="16">
        <v>46342</v>
      </c>
      <c r="J99" s="16">
        <v>46342</v>
      </c>
      <c r="K99" s="16"/>
      <c r="L99" s="16"/>
      <c r="M99" s="22" t="str">
        <f t="shared" ca="1" si="10"/>
        <v/>
      </c>
      <c r="N99" s="12"/>
      <c r="O99" s="14" t="str">
        <f t="shared" si="11"/>
        <v>Not Started</v>
      </c>
      <c r="P99" s="14" t="str">
        <f t="shared" ca="1" si="12"/>
        <v>On Track</v>
      </c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</row>
    <row r="100" spans="1:73" ht="16.5" customHeight="1">
      <c r="A100" s="24">
        <f t="shared" si="13"/>
        <v>91</v>
      </c>
      <c r="B100" s="23" t="s">
        <v>225</v>
      </c>
      <c r="C100" s="25" t="s">
        <v>183</v>
      </c>
      <c r="D100" s="18" t="s">
        <v>188</v>
      </c>
      <c r="E100" s="18" t="s">
        <v>189</v>
      </c>
      <c r="F100" s="12" t="s">
        <v>190</v>
      </c>
      <c r="G100" s="14"/>
      <c r="H100" s="21">
        <v>0.6</v>
      </c>
      <c r="I100" s="16">
        <v>46342</v>
      </c>
      <c r="J100" s="16">
        <v>46344</v>
      </c>
      <c r="K100" s="16"/>
      <c r="L100" s="16"/>
      <c r="M100" s="22" t="str">
        <f t="shared" ca="1" si="10"/>
        <v/>
      </c>
      <c r="N100" s="12"/>
      <c r="O100" s="14" t="str">
        <f t="shared" si="11"/>
        <v>Not Started</v>
      </c>
      <c r="P100" s="14" t="str">
        <f t="shared" ca="1" si="12"/>
        <v>On Track</v>
      </c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</row>
    <row r="101" spans="1:73" ht="16.5" customHeight="1">
      <c r="A101" s="24">
        <f t="shared" si="13"/>
        <v>92</v>
      </c>
      <c r="B101" s="23" t="s">
        <v>225</v>
      </c>
      <c r="C101" s="25" t="s">
        <v>183</v>
      </c>
      <c r="D101" s="18" t="s">
        <v>191</v>
      </c>
      <c r="E101" s="18" t="s">
        <v>192</v>
      </c>
      <c r="F101" s="12" t="s">
        <v>193</v>
      </c>
      <c r="G101" s="14"/>
      <c r="H101" s="21">
        <v>0.8</v>
      </c>
      <c r="I101" s="16">
        <v>46342</v>
      </c>
      <c r="J101" s="16">
        <v>46346</v>
      </c>
      <c r="K101" s="16"/>
      <c r="L101" s="16"/>
      <c r="M101" s="22" t="str">
        <f t="shared" ca="1" si="10"/>
        <v/>
      </c>
      <c r="N101" s="12"/>
      <c r="O101" s="14" t="str">
        <f t="shared" si="11"/>
        <v>Not Started</v>
      </c>
      <c r="P101" s="14" t="str">
        <f t="shared" ca="1" si="12"/>
        <v>On Track</v>
      </c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</row>
    <row r="102" spans="1:73" ht="16.5" customHeight="1">
      <c r="A102" s="24">
        <f t="shared" si="13"/>
        <v>93</v>
      </c>
      <c r="B102" s="23" t="s">
        <v>225</v>
      </c>
      <c r="C102" s="25" t="s">
        <v>194</v>
      </c>
      <c r="D102" s="18" t="s">
        <v>195</v>
      </c>
      <c r="E102" s="18" t="s">
        <v>191</v>
      </c>
      <c r="F102" s="12" t="s">
        <v>196</v>
      </c>
      <c r="G102" s="14"/>
      <c r="H102" s="21">
        <v>1.5</v>
      </c>
      <c r="I102" s="16">
        <v>46343</v>
      </c>
      <c r="J102" s="16">
        <v>46354</v>
      </c>
      <c r="K102" s="16"/>
      <c r="L102" s="16"/>
      <c r="M102" s="22" t="str">
        <f t="shared" ca="1" si="10"/>
        <v/>
      </c>
      <c r="N102" s="12"/>
      <c r="O102" s="14" t="str">
        <f t="shared" si="11"/>
        <v>Not Started</v>
      </c>
      <c r="P102" s="14" t="str">
        <f t="shared" ca="1" si="12"/>
        <v>On Track</v>
      </c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</row>
    <row r="103" spans="1:73" ht="16.5" customHeight="1">
      <c r="A103" s="24">
        <f t="shared" si="13"/>
        <v>94</v>
      </c>
      <c r="B103" s="23" t="s">
        <v>225</v>
      </c>
      <c r="C103" s="25" t="s">
        <v>194</v>
      </c>
      <c r="D103" s="18" t="s">
        <v>188</v>
      </c>
      <c r="E103" s="18" t="s">
        <v>197</v>
      </c>
      <c r="F103" s="12" t="s">
        <v>198</v>
      </c>
      <c r="G103" s="14"/>
      <c r="H103" s="21">
        <v>1.2</v>
      </c>
      <c r="I103" s="16">
        <v>46343</v>
      </c>
      <c r="J103" s="16">
        <v>46352</v>
      </c>
      <c r="K103" s="16"/>
      <c r="L103" s="16"/>
      <c r="M103" s="22" t="str">
        <f t="shared" ca="1" si="10"/>
        <v/>
      </c>
      <c r="N103" s="12"/>
      <c r="O103" s="14" t="str">
        <f t="shared" si="11"/>
        <v>Not Started</v>
      </c>
      <c r="P103" s="14" t="str">
        <f t="shared" ca="1" si="12"/>
        <v>On Track</v>
      </c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</row>
    <row r="104" spans="1:73" ht="16.5" customHeight="1">
      <c r="A104" s="24">
        <f t="shared" si="13"/>
        <v>95</v>
      </c>
      <c r="B104" s="23" t="s">
        <v>225</v>
      </c>
      <c r="C104" s="25" t="s">
        <v>194</v>
      </c>
      <c r="D104" s="18" t="s">
        <v>199</v>
      </c>
      <c r="E104" s="18" t="s">
        <v>156</v>
      </c>
      <c r="F104" s="12" t="s">
        <v>200</v>
      </c>
      <c r="G104" s="14"/>
      <c r="H104" s="21">
        <v>1.2</v>
      </c>
      <c r="I104" s="16">
        <v>46344</v>
      </c>
      <c r="J104" s="16">
        <v>46354</v>
      </c>
      <c r="K104" s="16"/>
      <c r="L104" s="16"/>
      <c r="M104" s="22" t="str">
        <f t="shared" ca="1" si="10"/>
        <v/>
      </c>
      <c r="N104" s="12"/>
      <c r="O104" s="14" t="str">
        <f t="shared" si="11"/>
        <v>Not Started</v>
      </c>
      <c r="P104" s="14" t="str">
        <f t="shared" ca="1" si="12"/>
        <v>On Track</v>
      </c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</row>
    <row r="105" spans="1:73" ht="16.5" customHeight="1">
      <c r="A105" s="24">
        <f t="shared" si="13"/>
        <v>96</v>
      </c>
      <c r="B105" s="23" t="s">
        <v>225</v>
      </c>
      <c r="C105" s="25" t="s">
        <v>194</v>
      </c>
      <c r="D105" s="18" t="s">
        <v>201</v>
      </c>
      <c r="E105" s="18" t="s">
        <v>202</v>
      </c>
      <c r="F105" s="12" t="s">
        <v>203</v>
      </c>
      <c r="G105" s="14"/>
      <c r="H105" s="21">
        <v>0.6</v>
      </c>
      <c r="I105" s="16">
        <v>46351</v>
      </c>
      <c r="J105" s="16">
        <v>46356</v>
      </c>
      <c r="K105" s="16"/>
      <c r="L105" s="16"/>
      <c r="M105" s="22" t="str">
        <f t="shared" ca="1" si="10"/>
        <v/>
      </c>
      <c r="N105" s="12"/>
      <c r="O105" s="14" t="str">
        <f t="shared" si="11"/>
        <v>Not Started</v>
      </c>
      <c r="P105" s="14" t="str">
        <f t="shared" ca="1" si="12"/>
        <v>On Track</v>
      </c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</row>
  </sheetData>
  <mergeCells count="39">
    <mergeCell ref="BX8:CD8"/>
    <mergeCell ref="A4:C4"/>
    <mergeCell ref="D5:D7"/>
    <mergeCell ref="C5:C7"/>
    <mergeCell ref="B5:B7"/>
    <mergeCell ref="A5:A7"/>
    <mergeCell ref="H5:H7"/>
    <mergeCell ref="G5:G7"/>
    <mergeCell ref="F5:F7"/>
    <mergeCell ref="E5:E7"/>
    <mergeCell ref="BH5:BN5"/>
    <mergeCell ref="M5:M7"/>
    <mergeCell ref="N5:N7"/>
    <mergeCell ref="AM5:AS5"/>
    <mergeCell ref="AT5:AZ5"/>
    <mergeCell ref="BA5:BG5"/>
    <mergeCell ref="O5:O7"/>
    <mergeCell ref="R4:BU4"/>
    <mergeCell ref="BO5:BU5"/>
    <mergeCell ref="R5:X5"/>
    <mergeCell ref="Y5:AE5"/>
    <mergeCell ref="P5:P7"/>
    <mergeCell ref="D4:P4"/>
    <mergeCell ref="A1:P1"/>
    <mergeCell ref="D2:P2"/>
    <mergeCell ref="D3:P3"/>
    <mergeCell ref="AF5:AL5"/>
    <mergeCell ref="I5:I7"/>
    <mergeCell ref="J5:J7"/>
    <mergeCell ref="R2:Y2"/>
    <mergeCell ref="R3:Y3"/>
    <mergeCell ref="K5:K7"/>
    <mergeCell ref="L5:L7"/>
    <mergeCell ref="A2:C2"/>
    <mergeCell ref="A3:C3"/>
    <mergeCell ref="Z2:AE2"/>
    <mergeCell ref="Z3:AE3"/>
    <mergeCell ref="AF2:BU2"/>
    <mergeCell ref="AF3:BU3"/>
  </mergeCells>
  <conditionalFormatting sqref="F8:F63 F65:F105">
    <cfRule type="expression" dxfId="27" priority="8">
      <formula>AND($O8&lt;&gt;"",EXACT($O8,"In Progress"))</formula>
    </cfRule>
    <cfRule type="expression" dxfId="26" priority="9">
      <formula>AND($O8&lt;&gt;"",EXACT($O8,"Completed"))</formula>
    </cfRule>
    <cfRule type="expression" dxfId="25" priority="10">
      <formula>AND($O8&lt;&gt;"",EXACT($O8,"At Risk"))</formula>
    </cfRule>
    <cfRule type="expression" dxfId="24" priority="11">
      <formula>AND($O8&lt;&gt;"",EXACT($O8,"Delayed"))</formula>
    </cfRule>
  </conditionalFormatting>
  <conditionalFormatting sqref="O8:O105">
    <cfRule type="expression" dxfId="23" priority="33">
      <formula>$O8="In Progress"</formula>
    </cfRule>
    <cfRule type="expression" dxfId="22" priority="34">
      <formula>$O8="Completed"</formula>
    </cfRule>
  </conditionalFormatting>
  <conditionalFormatting sqref="P8:P105">
    <cfRule type="expression" dxfId="21" priority="5">
      <formula>$P8="At Risk"</formula>
    </cfRule>
    <cfRule type="expression" dxfId="20" priority="6">
      <formula>$P8="On Track"</formula>
    </cfRule>
    <cfRule type="expression" dxfId="19" priority="7">
      <formula>$P8="Delayed"</formula>
    </cfRule>
  </conditionalFormatting>
  <conditionalFormatting sqref="R6:BU105">
    <cfRule type="expression" dxfId="18" priority="49">
      <formula>AND(TODAY()&gt;=R$6, TODAY()&lt;S$6)</formula>
    </cfRule>
  </conditionalFormatting>
  <conditionalFormatting sqref="R8:BU105">
    <cfRule type="expression" dxfId="17" priority="54">
      <formula>AND(task_start&lt;=R$6,ROUNDDOWN((task_end-task_start+1)*task_progress,0)+task_start-1&gt;=R$6)</formula>
    </cfRule>
    <cfRule type="expression" dxfId="16" priority="55">
      <formula>AND(task_end&gt;=R$6,task_start&lt;S$6)</formula>
    </cfRule>
  </conditionalFormatting>
  <conditionalFormatting sqref="C8:C105">
    <cfRule type="expression" dxfId="15" priority="227">
      <formula>AND($B8&lt;&gt;"", COUNTIFS($B$8:$B$200,$B8,$O$8:$O$200,"Delayed")=0, COUNTIFS($B$8:$B$200,$B8,$O$8:$O$200,"At Risk")&gt;0)</formula>
    </cfRule>
    <cfRule type="expression" dxfId="14" priority="228">
      <formula>AND($B8&lt;&gt;"", COUNTIFS($B$8:$B$200,$B8,$O$8:$O$200,"Delayed")&gt;0)</formula>
    </cfRule>
    <cfRule type="expression" dxfId="13" priority="229">
      <formula>AND($B8&lt;&gt;"", COUNTIFS($B$8:$B$200,$B8,$O$8:$O$200,"Delayed")=0, COUNTIFS($B$8:$B$200,$B8,$O$8:$O$200,"At Risk")=0, COUNTIFS($B$8:$B$200,$B8,$O$8:$O$200,"In Progress")&gt;0)</formula>
    </cfRule>
    <cfRule type="expression" dxfId="12" priority="230">
      <formula>AND($B8&lt;&gt;"",COUNTIFS($B$8:$B$200,$B8,$O$8:$O$200,"&lt;&gt;Completed")=0)</formula>
    </cfRule>
  </conditionalFormatting>
  <conditionalFormatting sqref="D8:D105">
    <cfRule type="expression" dxfId="11" priority="235">
      <formula>AND($D8&lt;&gt;"", COUNTIFS($D$8:$D$200,$D8,$O$8:$O$200,"Delayed")=0, COUNTIFS($D$8:$D$200,$D8,$O$8:$O$200,"At Risk")&gt;0)</formula>
    </cfRule>
    <cfRule type="expression" dxfId="10" priority="236">
      <formula>AND($D8&lt;&gt;"",COUNTIFS($D$8:$D$200,$D8,$O$8:$O$200,"Delayed")&gt;0)</formula>
    </cfRule>
    <cfRule type="expression" dxfId="9" priority="237">
      <formula>AND($D8&lt;&gt;"", COUNTIFS($D$8:$D$200,$D8,$O$8:$O$200,"Delayed")=0, COUNTIFS($D$8:$D$200,$D8,$O$8:$O$200,"In Progress")&gt;0)</formula>
    </cfRule>
    <cfRule type="expression" dxfId="8" priority="238">
      <formula>AND($D8&lt;&gt;"",COUNTIFS($D$8:$D$200,$D8,$O$8:$O$200,"&lt;&gt;Completed")=0)</formula>
    </cfRule>
  </conditionalFormatting>
  <conditionalFormatting sqref="E8:E105">
    <cfRule type="expression" dxfId="7" priority="243">
      <formula>AND($E8&lt;&gt;"",COUNTIFS($E$8:$E$200,$E8,$O$8:$O$200,"At Risk")&gt;0)</formula>
    </cfRule>
    <cfRule type="expression" dxfId="6" priority="244">
      <formula>AND($E8&lt;&gt;"",COUNTIFS($E$8:$E$200,$E8,$O$8:$O$200,"Delayed")&gt;0)</formula>
    </cfRule>
    <cfRule type="expression" dxfId="5" priority="245">
      <formula>AND($E8&lt;&gt;"", COUNTIFS($E$8:$E$200,$E8,$O$8:$O$200,"In Progress")&gt;0, COUNTIFS($E$8:$E$200,$E8,$O$8:$O$200,"Completed")&lt;COUNTIFS($E$8:$E$200,$E8,$F$8:$F$200,"&lt;&gt;"))</formula>
    </cfRule>
    <cfRule type="expression" dxfId="4" priority="246">
      <formula>AND($E8&lt;&gt;"",COUNTIFS($E$8:$E$200,$E8,$O$8:$O$200,"&lt;&gt;Completed")=0)</formula>
    </cfRule>
  </conditionalFormatting>
  <conditionalFormatting sqref="N8:N105">
    <cfRule type="dataBar" priority="251">
      <dataBar>
        <cfvo type="min"/>
        <cfvo type="max"/>
        <color theme="3" tint="0.499984740745262"/>
      </dataBar>
      <extLst>
        <ext xmlns:x14="http://schemas.microsoft.com/office/spreadsheetml/2009/9/main" uri="{B025F937-C7B1-47D3-B67F-A62EFF666E3E}">
          <x14:id>{A2AF5C06-87D7-49C8-9BBE-736639BFEC21}</x14:id>
        </ext>
      </extLst>
    </cfRule>
  </conditionalFormatting>
  <conditionalFormatting sqref="F64">
    <cfRule type="expression" dxfId="3" priority="1">
      <formula>AND($E64&lt;&gt;"",COUNTIFS($E$8:$E$200,$E64,$O$8:$O$200,"At Risk")&gt;0)</formula>
    </cfRule>
    <cfRule type="expression" dxfId="2" priority="2">
      <formula>AND($E64&lt;&gt;"",COUNTIFS($E$8:$E$200,$E64,$O$8:$O$200,"Delayed")&gt;0)</formula>
    </cfRule>
    <cfRule type="expression" dxfId="1" priority="3">
      <formula>AND($E64&lt;&gt;"", COUNTIFS($E$8:$E$200,$E64,$O$8:$O$200,"In Progress")&gt;0, COUNTIFS($E$8:$E$200,$E64,$O$8:$O$200,"Completed")&lt;COUNTIFS($E$8:$E$200,$E64,$F$8:$F$200,"&lt;&gt;"))</formula>
    </cfRule>
    <cfRule type="expression" dxfId="0" priority="4">
      <formula>AND($E64&lt;&gt;"",COUNTIFS($E$8:$E$200,$E64,$O$8:$O$200,"&lt;&gt;Completed")=0)</formula>
    </cfRule>
  </conditionalFormatting>
  <printOptions horizontalCentered="1"/>
  <pageMargins left="0.35" right="0.35" top="0.35" bottom="0.5" header="0.3" footer="0.3"/>
  <pageSetup scale="57" fitToHeight="0" orientation="landscape" r:id="rId1"/>
  <headerFooter differentFirst="1" scaleWithDoc="0">
    <oddFooter>Page &amp;P of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2AF5C06-87D7-49C8-9BBE-736639BFEC21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N8:N105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3:F11"/>
  <sheetViews>
    <sheetView zoomScaleNormal="100" workbookViewId="0">
      <selection activeCell="E14" sqref="E14"/>
    </sheetView>
  </sheetViews>
  <sheetFormatPr defaultColWidth="11" defaultRowHeight="14.25"/>
  <cols>
    <col min="5" max="5" width="23.75" bestFit="1" customWidth="1"/>
    <col min="6" max="6" width="24.5" bestFit="1" customWidth="1"/>
  </cols>
  <sheetData>
    <row r="3" spans="4:6">
      <c r="D3" t="s">
        <v>226</v>
      </c>
      <c r="E3" t="s">
        <v>227</v>
      </c>
    </row>
    <row r="5" spans="4:6">
      <c r="D5" s="4"/>
      <c r="E5" s="27" t="s">
        <v>228</v>
      </c>
      <c r="F5" s="27" t="s">
        <v>229</v>
      </c>
    </row>
    <row r="6" spans="4:6">
      <c r="D6" s="4"/>
      <c r="E6" s="27" t="s">
        <v>230</v>
      </c>
      <c r="F6" s="27" t="s">
        <v>231</v>
      </c>
    </row>
    <row r="7" spans="4:6">
      <c r="D7" s="4"/>
      <c r="E7" s="27" t="s">
        <v>232</v>
      </c>
      <c r="F7" s="27" t="s">
        <v>233</v>
      </c>
    </row>
    <row r="8" spans="4:6">
      <c r="D8" s="4"/>
      <c r="E8" s="27" t="s">
        <v>234</v>
      </c>
      <c r="F8" s="27" t="s">
        <v>231</v>
      </c>
    </row>
    <row r="9" spans="4:6">
      <c r="D9" s="4"/>
      <c r="E9" s="27" t="s">
        <v>235</v>
      </c>
      <c r="F9" s="27" t="s">
        <v>233</v>
      </c>
    </row>
    <row r="10" spans="4:6">
      <c r="D10" s="4"/>
      <c r="E10" s="27" t="s">
        <v>236</v>
      </c>
      <c r="F10" s="27" t="s">
        <v>231</v>
      </c>
    </row>
    <row r="11" spans="4:6">
      <c r="D11" s="4"/>
      <c r="E11" s="27" t="s">
        <v>237</v>
      </c>
      <c r="F11" s="27" t="s">
        <v>233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245281-08F3-4104-84BD-39F3D8CFB195}"/>
</file>

<file path=customXml/itemProps2.xml><?xml version="1.0" encoding="utf-8"?>
<ds:datastoreItem xmlns:ds="http://schemas.openxmlformats.org/officeDocument/2006/customXml" ds:itemID="{A82239A0-E68C-493F-BEE6-C77FEA397FD6}"/>
</file>

<file path=customXml/itemProps3.xml><?xml version="1.0" encoding="utf-8"?>
<ds:datastoreItem xmlns:ds="http://schemas.openxmlformats.org/officeDocument/2006/customXml" ds:itemID="{C2348D59-3426-404A-A0C5-6456F6613EDB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TM16400962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2026-04-16T07:39:30Z</dcterms:created>
  <dcterms:modified xsi:type="dcterms:W3CDTF">2026-05-28T03:47:50Z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  <property fmtid="{D5CDD505-2E9C-101B-9397-08002B2CF9AE}" pid="3" name="MediaServiceImageTags">
    <vt:lpwstr/>
  </property>
</Properties>
</file>